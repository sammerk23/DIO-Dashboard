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FC9C30B6-69CF-48F6-8F3F-D6156F5CFDD1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158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3" l="1"/>
  <c r="K9" i="4" s="1"/>
  <c r="H12" i="3"/>
  <c r="K5" i="4" s="1"/>
  <c r="D7" i="3"/>
  <c r="E5" i="4" s="1"/>
</calcChain>
</file>

<file path=xl/sharedStrings.xml><?xml version="1.0" encoding="utf-8"?>
<sst xmlns="http://schemas.openxmlformats.org/spreadsheetml/2006/main" count="2030" uniqueCount="318">
  <si>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</si>
  <si>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</si>
  <si>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</si>
  <si>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</si>
  <si>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</si>
  <si>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</si>
  <si>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</si>
  <si>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</si>
  <si>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</si>
  <si>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</si>
  <si>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</si>
  <si>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</si>
  <si>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</si>
  <si>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</si>
  <si>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</si>
  <si>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</si>
  <si>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</si>
  <si>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</si>
  <si>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</si>
  <si>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</si>
  <si>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</si>
  <si>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</si>
  <si>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</si>
  <si>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</si>
  <si>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</si>
  <si>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</si>
  <si>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</si>
  <si>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</si>
  <si>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</si>
  <si>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</si>
  <si>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</si>
  <si>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</si>
  <si>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</si>
  <si>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</si>
  <si>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</si>
  <si>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</si>
  <si>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</si>
  <si>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</si>
  <si>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</si>
  <si>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</si>
  <si>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</si>
  <si>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</si>
  <si>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</si>
  <si>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</si>
  <si>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</si>
  <si>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</si>
  <si>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</si>
  <si>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</si>
  <si>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</si>
  <si>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</si>
  <si>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</si>
  <si>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</si>
  <si>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</si>
  <si>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</si>
  <si>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</si>
  <si>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</si>
  <si>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</si>
  <si>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</si>
  <si>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</si>
  <si>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</si>
  <si>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</si>
  <si>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</si>
  <si>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</si>
  <si>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</si>
  <si>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</si>
  <si>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</si>
  <si>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</si>
  <si>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</si>
  <si>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</si>
  <si>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</si>
  <si>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</si>
  <si>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</si>
  <si>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</si>
  <si>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</si>
  <si>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</si>
  <si>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</si>
  <si>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</si>
  <si>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</si>
  <si>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</si>
  <si>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</si>
  <si>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</si>
  <si>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</si>
  <si>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</si>
  <si>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</si>
  <si>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</si>
  <si>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</si>
  <si>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</si>
  <si>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</si>
  <si>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</si>
  <si>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</si>
  <si>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</si>
  <si>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</si>
  <si>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</si>
  <si>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</si>
  <si>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</si>
  <si>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</si>
  <si>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</si>
  <si>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</si>
  <si>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</si>
  <si>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</si>
  <si>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</si>
  <si>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</si>
  <si>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</si>
  <si>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</si>
  <si>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</si>
  <si>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</si>
  <si>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</si>
  <si>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</si>
  <si>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</si>
  <si>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</si>
  <si>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</si>
  <si>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</si>
  <si>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</si>
  <si>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</si>
  <si>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</si>
  <si>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</si>
  <si>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</si>
  <si>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</si>
  <si>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</si>
  <si>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</si>
  <si>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</si>
  <si>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</si>
  <si>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</si>
  <si>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</si>
  <si>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</si>
  <si>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</si>
  <si>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</si>
  <si>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</si>
  <si>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</si>
  <si>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</si>
  <si>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</si>
  <si>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</si>
  <si>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</si>
  <si>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</si>
  <si>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</si>
  <si>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</si>
  <si>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</si>
  <si>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</si>
  <si>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</si>
  <si>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</si>
  <si>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</si>
  <si>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</si>
  <si>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</si>
  <si>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</si>
  <si>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</si>
  <si>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</si>
  <si>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</si>
  <si>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</si>
  <si>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</si>
  <si>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</si>
  <si>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</si>
  <si>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</si>
  <si>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</si>
  <si>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</si>
  <si>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</si>
  <si>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</si>
  <si>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</si>
  <si>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</si>
  <si>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</si>
  <si>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</si>
  <si>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</si>
  <si>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</si>
  <si>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</si>
  <si>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</si>
  <si>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</si>
  <si>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</si>
  <si>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</si>
  <si>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</si>
  <si>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</si>
  <si>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</si>
  <si>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</si>
  <si>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</si>
  <si>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</si>
  <si>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</si>
  <si>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</si>
  <si>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</si>
  <si>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</si>
  <si>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</si>
  <si>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</si>
  <si>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</si>
  <si>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</si>
  <si>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</si>
  <si>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</si>
  <si>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</si>
  <si>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</si>
  <si>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</si>
  <si>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</si>
  <si>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</si>
  <si>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</si>
  <si>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</si>
  <si>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</si>
  <si>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</si>
  <si>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</si>
  <si>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</si>
  <si>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</si>
  <si>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</si>
  <si>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</si>
  <si>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</si>
  <si>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</si>
  <si>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</si>
  <si>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</si>
  <si>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</si>
  <si>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</si>
  <si>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</si>
  <si>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</si>
  <si>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</si>
  <si>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</si>
  <si>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</si>
  <si>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</si>
  <si>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</si>
  <si>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</si>
  <si>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</si>
  <si>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</si>
  <si>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</si>
  <si>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</si>
  <si>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</si>
  <si>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</si>
  <si>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</si>
  <si>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</si>
  <si>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</si>
  <si>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</si>
  <si>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</si>
  <si>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</si>
  <si>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</si>
  <si>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</si>
  <si>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</si>
  <si>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</si>
  <si>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</si>
  <si>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</si>
  <si>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</si>
  <si>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</si>
  <si>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</si>
  <si>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</si>
  <si>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</si>
  <si>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</si>
  <si>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</si>
  <si>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</si>
  <si>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</si>
  <si>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</si>
  <si>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</si>
  <si>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</si>
  <si>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</si>
  <si>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</si>
  <si>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</si>
  <si>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</si>
  <si>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</si>
  <si>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</si>
  <si>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</si>
  <si>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</si>
  <si>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</si>
  <si>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</si>
  <si>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</si>
  <si>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</si>
  <si>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</si>
  <si>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</si>
  <si>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</si>
  <si>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</si>
  <si>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</si>
  <si>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</si>
  <si>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</si>
  <si>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</si>
  <si>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</si>
  <si>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</si>
  <si>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</si>
  <si>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</si>
  <si>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</si>
  <si>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</si>
  <si>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</si>
  <si>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</si>
  <si>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</si>
  <si>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</si>
  <si>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</si>
  <si>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</si>
  <si>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</si>
  <si>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</si>
  <si>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</si>
  <si>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</si>
  <si>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</si>
  <si>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</si>
  <si>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</si>
  <si>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</si>
  <si>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</si>
  <si>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</si>
  <si>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</si>
  <si>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</si>
  <si>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</si>
  <si>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</si>
  <si>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</si>
  <si>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</si>
  <si>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</si>
  <si>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</si>
  <si>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</si>
  <si>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</si>
  <si>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</si>
  <si>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</si>
  <si>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</si>
  <si>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</si>
  <si>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</si>
  <si>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</si>
  <si>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</si>
  <si>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</si>
  <si>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</si>
  <si>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</si>
  <si>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</si>
  <si>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</si>
  <si>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</si>
  <si>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</si>
  <si>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</si>
  <si>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</si>
  <si>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</si>
  <si>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</si>
  <si>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</si>
  <si>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</si>
  <si>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</si>
  <si>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Soma de Subscription Price</t>
  </si>
  <si>
    <t>Total Geral</t>
  </si>
  <si>
    <t>XBOX GAME PASS SUBSCRIPTION SALES</t>
  </si>
  <si>
    <t>Faturamento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</si>
</sst>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_-[$R$-416]\ * #,##0.00_-;\-[$R$-416]\ * #,##0.00_-;_-[$R$-416]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Segoe UI"/>
    </font>
    <font>
      <b/>
      <sz val="14"/>
      <color rgb="FF000000"/>
      <name val="Segoe UI"/>
    </font>
    <font>
      <b/>
      <u/>
      <sz val="11"/>
      <color theme="1"/>
      <name val="Segoe UI"/>
    </font>
    <font>
      <sz val="11"/>
      <color rgb="FFE8E6E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0" fillId="8" borderId="0" xfId="0" applyFill="1"/>
    <xf numFmtId="165" fontId="4" fillId="8" borderId="0" xfId="0" applyNumberFormat="1" applyFont="1" applyFill="1" applyAlignment="1">
      <alignment horizontal="center" vertical="center"/>
    </xf>
    <xf numFmtId="165" fontId="4" fillId="7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top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7" fillId="7" borderId="0" xfId="0" applyFont="1" applyFill="1"/>
    <xf numFmtId="0" fontId="5" fillId="7" borderId="0" xfId="0" applyFont="1" applyFill="1" applyAlignmen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8E6E9"/>
      <color rgb="FF22C55E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DIO.xlsx]C̳álculos!Tabela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Plano Renovável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C̳álculos!$B$13:$B$15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C̳álculos!$C$13:$C$15</c:f>
              <c:numCache>
                <c:formatCode>_-"R$"\ * #,##0.00_-;\-"R$"\ * #,##0.00_-;_-"R$"\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05-469F-B98B-2269B284F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9206664"/>
        <c:axId val="1219212808"/>
      </c:barChart>
      <c:catAx>
        <c:axId val="1219206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212808"/>
        <c:crosses val="autoZero"/>
        <c:auto val="1"/>
        <c:lblAlgn val="ctr"/>
        <c:lblOffset val="100"/>
        <c:noMultiLvlLbl val="0"/>
      </c:catAx>
      <c:valAx>
        <c:axId val="1219212808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1219206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image" Target="../media/image2.png"/><Relationship Id="rId5" Type="http://schemas.openxmlformats.org/officeDocument/2006/relationships/image" Target="../media/image11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152400</xdr:colOff>
      <xdr:row>25</xdr:row>
      <xdr:rowOff>85725</xdr:rowOff>
    </xdr:from>
    <xdr:to>
      <xdr:col>12</xdr:col>
      <xdr:colOff>19050</xdr:colOff>
      <xdr:row>34</xdr:row>
      <xdr:rowOff>66675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E232CD-0A6F-2EB0-3893-B67E360ADBA3}"/>
            </a:ext>
            <a:ext uri="{147F2762-F138-4A5C-976F-8EAC2B608ADB}">
              <a16:predDERef xmlns:a16="http://schemas.microsoft.com/office/drawing/2014/main" pred="{A71E6AF1-ADEE-EB3B-0380-7B4EF5640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67325" y="5000625"/>
          <a:ext cx="1695450" cy="1695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533400</xdr:colOff>
      <xdr:row>15</xdr:row>
      <xdr:rowOff>171450</xdr:rowOff>
    </xdr:from>
    <xdr:to>
      <xdr:col>2</xdr:col>
      <xdr:colOff>647700</xdr:colOff>
      <xdr:row>20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E582ED78-9F82-80FE-FFB3-6D2F45FD6470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14750" y="1571625"/>
              <a:ext cx="1828800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0</xdr:row>
      <xdr:rowOff>0</xdr:rowOff>
    </xdr:from>
    <xdr:to>
      <xdr:col>2</xdr:col>
      <xdr:colOff>171450</xdr:colOff>
      <xdr:row>2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36F15FA-80B5-4570-B651-733319C0F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976" r="73017" b="13044"/>
        <a:stretch>
          <a:fillRect/>
        </a:stretch>
      </xdr:blipFill>
      <xdr:spPr>
        <a:xfrm>
          <a:off x="466725" y="0"/>
          <a:ext cx="857250" cy="73342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4</xdr:row>
      <xdr:rowOff>95250</xdr:rowOff>
    </xdr:from>
    <xdr:to>
      <xdr:col>3</xdr:col>
      <xdr:colOff>657225</xdr:colOff>
      <xdr:row>4</xdr:row>
      <xdr:rowOff>438150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49D5D97-5C42-43FC-B717-732BD80A66EA}"/>
            </a:ext>
            <a:ext uri="{147F2762-F138-4A5C-976F-8EAC2B608ADB}">
              <a16:predDERef xmlns:a16="http://schemas.microsoft.com/office/drawing/2014/main" pred="{436F15FA-80B5-4570-B651-733319C0F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7800" y="1114425"/>
          <a:ext cx="1152525" cy="342900"/>
        </a:xfrm>
        <a:prstGeom prst="rect">
          <a:avLst/>
        </a:prstGeom>
      </xdr:spPr>
    </xdr:pic>
    <xdr:clientData/>
  </xdr:twoCellAnchor>
  <xdr:twoCellAnchor>
    <xdr:from>
      <xdr:col>1</xdr:col>
      <xdr:colOff>400050</xdr:colOff>
      <xdr:row>6</xdr:row>
      <xdr:rowOff>209550</xdr:rowOff>
    </xdr:from>
    <xdr:to>
      <xdr:col>7</xdr:col>
      <xdr:colOff>238125</xdr:colOff>
      <xdr:row>12</xdr:row>
      <xdr:rowOff>114300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A2821CB-E923-4A0A-A548-88B272D47693}"/>
            </a:ext>
            <a:ext uri="{147F2762-F138-4A5C-976F-8EAC2B608ADB}">
              <a16:predDERef xmlns:a16="http://schemas.microsoft.com/office/drawing/2014/main" pred="{349D5D97-5C42-43FC-B717-732BD80A6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19050</xdr:colOff>
      <xdr:row>1</xdr:row>
      <xdr:rowOff>466725</xdr:rowOff>
    </xdr:from>
    <xdr:to>
      <xdr:col>10</xdr:col>
      <xdr:colOff>19050</xdr:colOff>
      <xdr:row>6</xdr:row>
      <xdr:rowOff>209550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17D20D2-032B-4754-A003-38AB8788A6DD}"/>
            </a:ext>
            <a:ext uri="{147F2762-F138-4A5C-976F-8EAC2B608ADB}">
              <a16:predDERef xmlns:a16="http://schemas.microsoft.com/office/drawing/2014/main" pred="{6A2821CB-E923-4A0A-A548-88B272D47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2100" y="65722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</xdr:row>
      <xdr:rowOff>304800</xdr:rowOff>
    </xdr:from>
    <xdr:to>
      <xdr:col>9</xdr:col>
      <xdr:colOff>600075</xdr:colOff>
      <xdr:row>11</xdr:row>
      <xdr:rowOff>28575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87CEB4A-F1A5-4639-BC4A-27B7A1D6EC8D}"/>
            </a:ext>
            <a:ext uri="{147F2762-F138-4A5C-976F-8EAC2B608ADB}">
              <a16:predDERef xmlns:a16="http://schemas.microsoft.com/office/drawing/2014/main" pred="{C17D20D2-032B-4754-A003-38AB8788A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62575" y="1971675"/>
          <a:ext cx="1200150" cy="12001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5.74988935185" createdVersion="8" refreshedVersion="8" minRefreshableVersion="3" recordCount="295" xr:uid="{31E6DF50-EB90-4156-9487-A601BB8FF8D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377754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n v="20"/>
    <n v="5"/>
    <n v="60"/>
  </r>
  <r>
    <n v="3232"/>
    <x v="1"/>
    <x v="1"/>
    <d v="2024-01-15T00:00:00"/>
    <x v="1"/>
    <n v="5"/>
    <x v="1"/>
    <x v="1"/>
    <x v="1"/>
    <x v="1"/>
    <n v="0"/>
    <n v="0"/>
    <n v="5"/>
  </r>
  <r>
    <n v="3233"/>
    <x v="2"/>
    <x v="2"/>
    <d v="2024-02-10T00:00:00"/>
    <x v="0"/>
    <n v="10"/>
    <x v="2"/>
    <x v="1"/>
    <x v="1"/>
    <x v="0"/>
    <n v="20"/>
    <n v="10"/>
    <n v="20"/>
  </r>
  <r>
    <n v="3234"/>
    <x v="3"/>
    <x v="0"/>
    <d v="2024-02-20T00:00:00"/>
    <x v="1"/>
    <n v="15"/>
    <x v="0"/>
    <x v="0"/>
    <x v="0"/>
    <x v="0"/>
    <n v="20"/>
    <n v="3"/>
    <n v="62"/>
  </r>
  <r>
    <n v="3235"/>
    <x v="4"/>
    <x v="1"/>
    <d v="2024-03-05T00:00:00"/>
    <x v="0"/>
    <n v="5"/>
    <x v="0"/>
    <x v="1"/>
    <x v="1"/>
    <x v="1"/>
    <n v="0"/>
    <n v="1"/>
    <n v="4"/>
  </r>
  <r>
    <n v="3236"/>
    <x v="5"/>
    <x v="2"/>
    <d v="2024-03-02T00:00:00"/>
    <x v="1"/>
    <n v="10"/>
    <x v="0"/>
    <x v="1"/>
    <x v="1"/>
    <x v="0"/>
    <n v="20"/>
    <n v="2"/>
    <n v="28"/>
  </r>
  <r>
    <n v="3237"/>
    <x v="6"/>
    <x v="0"/>
    <d v="2024-03-03T00:00:00"/>
    <x v="0"/>
    <n v="15"/>
    <x v="2"/>
    <x v="0"/>
    <x v="0"/>
    <x v="0"/>
    <n v="20"/>
    <n v="10"/>
    <n v="55"/>
  </r>
  <r>
    <n v="3238"/>
    <x v="7"/>
    <x v="1"/>
    <d v="2024-03-04T00:00:00"/>
    <x v="0"/>
    <n v="5"/>
    <x v="1"/>
    <x v="1"/>
    <x v="1"/>
    <x v="1"/>
    <n v="0"/>
    <n v="0"/>
    <n v="5"/>
  </r>
  <r>
    <n v="3239"/>
    <x v="8"/>
    <x v="0"/>
    <d v="2024-03-05T00:00:00"/>
    <x v="1"/>
    <n v="15"/>
    <x v="0"/>
    <x v="0"/>
    <x v="0"/>
    <x v="0"/>
    <n v="20"/>
    <n v="5"/>
    <n v="60"/>
  </r>
  <r>
    <n v="3240"/>
    <x v="9"/>
    <x v="2"/>
    <d v="2024-03-06T00:00:00"/>
    <x v="0"/>
    <n v="10"/>
    <x v="2"/>
    <x v="1"/>
    <x v="1"/>
    <x v="0"/>
    <n v="20"/>
    <n v="15"/>
    <n v="15"/>
  </r>
  <r>
    <n v="3241"/>
    <x v="10"/>
    <x v="1"/>
    <d v="2024-03-07T00:00:00"/>
    <x v="1"/>
    <n v="5"/>
    <x v="0"/>
    <x v="1"/>
    <x v="1"/>
    <x v="1"/>
    <n v="0"/>
    <n v="1"/>
    <n v="4"/>
  </r>
  <r>
    <n v="3242"/>
    <x v="11"/>
    <x v="0"/>
    <d v="2024-03-08T00:00:00"/>
    <x v="0"/>
    <n v="15"/>
    <x v="1"/>
    <x v="0"/>
    <x v="0"/>
    <x v="0"/>
    <n v="20"/>
    <n v="20"/>
    <n v="45"/>
  </r>
  <r>
    <n v="3243"/>
    <x v="12"/>
    <x v="2"/>
    <d v="2024-03-09T00:00:00"/>
    <x v="1"/>
    <n v="10"/>
    <x v="0"/>
    <x v="1"/>
    <x v="1"/>
    <x v="0"/>
    <n v="20"/>
    <n v="10"/>
    <n v="20"/>
  </r>
  <r>
    <n v="3244"/>
    <x v="13"/>
    <x v="1"/>
    <d v="2024-03-10T00:00:00"/>
    <x v="0"/>
    <n v="5"/>
    <x v="2"/>
    <x v="1"/>
    <x v="1"/>
    <x v="1"/>
    <n v="0"/>
    <n v="0"/>
    <n v="5"/>
  </r>
  <r>
    <n v="3245"/>
    <x v="14"/>
    <x v="0"/>
    <d v="2024-03-11T00:00:00"/>
    <x v="1"/>
    <n v="15"/>
    <x v="0"/>
    <x v="0"/>
    <x v="0"/>
    <x v="0"/>
    <n v="20"/>
    <n v="8"/>
    <n v="57"/>
  </r>
  <r>
    <n v="3246"/>
    <x v="15"/>
    <x v="2"/>
    <d v="2024-03-12T00:00:00"/>
    <x v="0"/>
    <n v="10"/>
    <x v="1"/>
    <x v="1"/>
    <x v="1"/>
    <x v="0"/>
    <n v="20"/>
    <n v="12"/>
    <n v="18"/>
  </r>
  <r>
    <n v="3247"/>
    <x v="16"/>
    <x v="1"/>
    <d v="2024-03-13T00:00:00"/>
    <x v="1"/>
    <n v="5"/>
    <x v="0"/>
    <x v="1"/>
    <x v="1"/>
    <x v="1"/>
    <n v="0"/>
    <n v="2"/>
    <n v="3"/>
  </r>
  <r>
    <n v="3248"/>
    <x v="17"/>
    <x v="0"/>
    <d v="2024-03-14T00:00:00"/>
    <x v="0"/>
    <n v="15"/>
    <x v="2"/>
    <x v="0"/>
    <x v="0"/>
    <x v="0"/>
    <n v="20"/>
    <n v="7"/>
    <n v="58"/>
  </r>
  <r>
    <n v="3249"/>
    <x v="18"/>
    <x v="2"/>
    <d v="2024-03-15T00:00:00"/>
    <x v="1"/>
    <n v="10"/>
    <x v="0"/>
    <x v="1"/>
    <x v="1"/>
    <x v="0"/>
    <n v="20"/>
    <n v="5"/>
    <n v="25"/>
  </r>
  <r>
    <n v="3250"/>
    <x v="19"/>
    <x v="1"/>
    <d v="2024-03-16T00:00:00"/>
    <x v="0"/>
    <n v="5"/>
    <x v="1"/>
    <x v="1"/>
    <x v="1"/>
    <x v="1"/>
    <n v="0"/>
    <n v="0"/>
    <n v="5"/>
  </r>
  <r>
    <n v="3251"/>
    <x v="20"/>
    <x v="0"/>
    <d v="2024-03-17T00:00:00"/>
    <x v="1"/>
    <n v="15"/>
    <x v="0"/>
    <x v="0"/>
    <x v="0"/>
    <x v="0"/>
    <n v="20"/>
    <n v="3"/>
    <n v="62"/>
  </r>
  <r>
    <n v="3252"/>
    <x v="21"/>
    <x v="2"/>
    <d v="2024-03-18T00:00:00"/>
    <x v="0"/>
    <n v="10"/>
    <x v="2"/>
    <x v="1"/>
    <x v="1"/>
    <x v="0"/>
    <n v="20"/>
    <n v="15"/>
    <n v="15"/>
  </r>
  <r>
    <n v="3253"/>
    <x v="22"/>
    <x v="1"/>
    <d v="2024-03-19T00:00:00"/>
    <x v="1"/>
    <n v="5"/>
    <x v="0"/>
    <x v="1"/>
    <x v="1"/>
    <x v="1"/>
    <n v="0"/>
    <n v="1"/>
    <n v="4"/>
  </r>
  <r>
    <n v="3254"/>
    <x v="23"/>
    <x v="0"/>
    <d v="2024-03-20T00:00:00"/>
    <x v="0"/>
    <n v="15"/>
    <x v="1"/>
    <x v="0"/>
    <x v="0"/>
    <x v="0"/>
    <n v="20"/>
    <n v="20"/>
    <n v="45"/>
  </r>
  <r>
    <n v="3255"/>
    <x v="24"/>
    <x v="2"/>
    <d v="2024-03-21T00:00:00"/>
    <x v="1"/>
    <n v="10"/>
    <x v="0"/>
    <x v="1"/>
    <x v="1"/>
    <x v="0"/>
    <n v="20"/>
    <n v="10"/>
    <n v="20"/>
  </r>
  <r>
    <n v="3256"/>
    <x v="25"/>
    <x v="1"/>
    <d v="2024-03-22T00:00:00"/>
    <x v="0"/>
    <n v="5"/>
    <x v="2"/>
    <x v="1"/>
    <x v="1"/>
    <x v="1"/>
    <n v="0"/>
    <n v="0"/>
    <n v="5"/>
  </r>
  <r>
    <n v="3257"/>
    <x v="26"/>
    <x v="0"/>
    <d v="2024-03-23T00:00:00"/>
    <x v="1"/>
    <n v="15"/>
    <x v="0"/>
    <x v="0"/>
    <x v="0"/>
    <x v="0"/>
    <n v="20"/>
    <n v="5"/>
    <n v="60"/>
  </r>
  <r>
    <n v="3258"/>
    <x v="27"/>
    <x v="2"/>
    <d v="2024-03-24T00:00:00"/>
    <x v="0"/>
    <n v="10"/>
    <x v="1"/>
    <x v="1"/>
    <x v="1"/>
    <x v="0"/>
    <n v="20"/>
    <n v="15"/>
    <n v="15"/>
  </r>
  <r>
    <n v="3259"/>
    <x v="28"/>
    <x v="1"/>
    <d v="2024-03-25T00:00:00"/>
    <x v="1"/>
    <n v="5"/>
    <x v="0"/>
    <x v="1"/>
    <x v="1"/>
    <x v="1"/>
    <n v="0"/>
    <n v="1"/>
    <n v="4"/>
  </r>
  <r>
    <n v="3260"/>
    <x v="29"/>
    <x v="0"/>
    <d v="2024-03-26T00:00:00"/>
    <x v="0"/>
    <n v="15"/>
    <x v="2"/>
    <x v="0"/>
    <x v="0"/>
    <x v="0"/>
    <n v="20"/>
    <n v="7"/>
    <n v="58"/>
  </r>
  <r>
    <n v="3261"/>
    <x v="30"/>
    <x v="2"/>
    <d v="2024-03-27T00:00:00"/>
    <x v="1"/>
    <n v="10"/>
    <x v="0"/>
    <x v="1"/>
    <x v="1"/>
    <x v="0"/>
    <n v="20"/>
    <n v="10"/>
    <n v="20"/>
  </r>
  <r>
    <n v="3262"/>
    <x v="31"/>
    <x v="1"/>
    <d v="2024-03-28T00:00:00"/>
    <x v="0"/>
    <n v="5"/>
    <x v="1"/>
    <x v="1"/>
    <x v="1"/>
    <x v="1"/>
    <n v="0"/>
    <n v="0"/>
    <n v="5"/>
  </r>
  <r>
    <n v="3263"/>
    <x v="32"/>
    <x v="0"/>
    <d v="2024-03-29T00:00:00"/>
    <x v="1"/>
    <n v="15"/>
    <x v="0"/>
    <x v="0"/>
    <x v="0"/>
    <x v="0"/>
    <n v="20"/>
    <n v="3"/>
    <n v="62"/>
  </r>
  <r>
    <n v="3264"/>
    <x v="33"/>
    <x v="2"/>
    <d v="2024-03-30T00:00:00"/>
    <x v="0"/>
    <n v="10"/>
    <x v="2"/>
    <x v="1"/>
    <x v="1"/>
    <x v="0"/>
    <n v="20"/>
    <n v="15"/>
    <n v="15"/>
  </r>
  <r>
    <n v="3265"/>
    <x v="34"/>
    <x v="1"/>
    <d v="2024-03-31T00:00:00"/>
    <x v="1"/>
    <n v="5"/>
    <x v="0"/>
    <x v="1"/>
    <x v="1"/>
    <x v="1"/>
    <n v="0"/>
    <n v="1"/>
    <n v="4"/>
  </r>
  <r>
    <n v="3266"/>
    <x v="35"/>
    <x v="1"/>
    <d v="2024-04-01T00:00:00"/>
    <x v="0"/>
    <n v="5"/>
    <x v="0"/>
    <x v="1"/>
    <x v="1"/>
    <x v="1"/>
    <n v="0"/>
    <n v="0"/>
    <n v="5"/>
  </r>
  <r>
    <n v="3267"/>
    <x v="36"/>
    <x v="0"/>
    <d v="2024-04-02T00:00:00"/>
    <x v="1"/>
    <n v="15"/>
    <x v="2"/>
    <x v="0"/>
    <x v="0"/>
    <x v="0"/>
    <n v="20"/>
    <n v="7"/>
    <n v="58"/>
  </r>
  <r>
    <n v="3268"/>
    <x v="37"/>
    <x v="2"/>
    <d v="2024-04-03T00:00:00"/>
    <x v="0"/>
    <n v="10"/>
    <x v="1"/>
    <x v="1"/>
    <x v="1"/>
    <x v="0"/>
    <n v="20"/>
    <n v="10"/>
    <n v="20"/>
  </r>
  <r>
    <n v="3269"/>
    <x v="38"/>
    <x v="1"/>
    <d v="2024-04-04T00:00:00"/>
    <x v="1"/>
    <n v="5"/>
    <x v="2"/>
    <x v="1"/>
    <x v="1"/>
    <x v="1"/>
    <n v="0"/>
    <n v="1"/>
    <n v="4"/>
  </r>
  <r>
    <n v="3270"/>
    <x v="39"/>
    <x v="0"/>
    <d v="2024-04-05T00:00:00"/>
    <x v="0"/>
    <n v="15"/>
    <x v="0"/>
    <x v="0"/>
    <x v="0"/>
    <x v="0"/>
    <n v="20"/>
    <n v="15"/>
    <n v="50"/>
  </r>
  <r>
    <n v="3271"/>
    <x v="40"/>
    <x v="2"/>
    <d v="2024-04-06T00:00:00"/>
    <x v="1"/>
    <n v="10"/>
    <x v="0"/>
    <x v="1"/>
    <x v="1"/>
    <x v="0"/>
    <n v="20"/>
    <n v="5"/>
    <n v="25"/>
  </r>
  <r>
    <n v="3272"/>
    <x v="41"/>
    <x v="1"/>
    <d v="2024-04-07T00:00:00"/>
    <x v="0"/>
    <n v="5"/>
    <x v="1"/>
    <x v="1"/>
    <x v="1"/>
    <x v="1"/>
    <n v="0"/>
    <n v="0"/>
    <n v="5"/>
  </r>
  <r>
    <n v="3273"/>
    <x v="42"/>
    <x v="0"/>
    <d v="2024-04-08T00:00:00"/>
    <x v="1"/>
    <n v="15"/>
    <x v="2"/>
    <x v="0"/>
    <x v="0"/>
    <x v="0"/>
    <n v="20"/>
    <n v="20"/>
    <n v="45"/>
  </r>
  <r>
    <n v="3274"/>
    <x v="43"/>
    <x v="2"/>
    <d v="2024-04-09T00:00:00"/>
    <x v="0"/>
    <n v="10"/>
    <x v="2"/>
    <x v="1"/>
    <x v="1"/>
    <x v="0"/>
    <n v="20"/>
    <n v="12"/>
    <n v="18"/>
  </r>
  <r>
    <n v="3275"/>
    <x v="44"/>
    <x v="1"/>
    <d v="2024-04-10T00:00:00"/>
    <x v="1"/>
    <n v="5"/>
    <x v="0"/>
    <x v="1"/>
    <x v="1"/>
    <x v="1"/>
    <n v="0"/>
    <n v="2"/>
    <n v="3"/>
  </r>
  <r>
    <n v="3276"/>
    <x v="45"/>
    <x v="0"/>
    <d v="2024-04-11T00:00:00"/>
    <x v="0"/>
    <n v="15"/>
    <x v="1"/>
    <x v="0"/>
    <x v="0"/>
    <x v="0"/>
    <n v="20"/>
    <n v="5"/>
    <n v="60"/>
  </r>
  <r>
    <n v="3277"/>
    <x v="46"/>
    <x v="2"/>
    <d v="2024-04-12T00:00:00"/>
    <x v="1"/>
    <n v="10"/>
    <x v="0"/>
    <x v="1"/>
    <x v="1"/>
    <x v="0"/>
    <n v="20"/>
    <n v="10"/>
    <n v="20"/>
  </r>
  <r>
    <n v="3278"/>
    <x v="47"/>
    <x v="1"/>
    <d v="2024-04-13T00:00:00"/>
    <x v="0"/>
    <n v="5"/>
    <x v="2"/>
    <x v="1"/>
    <x v="1"/>
    <x v="1"/>
    <n v="0"/>
    <n v="0"/>
    <n v="5"/>
  </r>
  <r>
    <n v="3279"/>
    <x v="48"/>
    <x v="0"/>
    <d v="2024-04-14T00:00:00"/>
    <x v="1"/>
    <n v="15"/>
    <x v="0"/>
    <x v="0"/>
    <x v="0"/>
    <x v="0"/>
    <n v="20"/>
    <n v="3"/>
    <n v="62"/>
  </r>
  <r>
    <n v="3280"/>
    <x v="49"/>
    <x v="2"/>
    <d v="2024-04-15T00:00:00"/>
    <x v="0"/>
    <n v="10"/>
    <x v="1"/>
    <x v="1"/>
    <x v="1"/>
    <x v="0"/>
    <n v="20"/>
    <n v="15"/>
    <n v="15"/>
  </r>
  <r>
    <n v="3281"/>
    <x v="50"/>
    <x v="1"/>
    <d v="2024-04-16T00:00:00"/>
    <x v="1"/>
    <n v="5"/>
    <x v="0"/>
    <x v="1"/>
    <x v="1"/>
    <x v="1"/>
    <n v="0"/>
    <n v="1"/>
    <n v="4"/>
  </r>
  <r>
    <n v="3282"/>
    <x v="51"/>
    <x v="0"/>
    <d v="2024-04-17T00:00:00"/>
    <x v="0"/>
    <n v="15"/>
    <x v="2"/>
    <x v="0"/>
    <x v="0"/>
    <x v="0"/>
    <n v="20"/>
    <n v="7"/>
    <n v="58"/>
  </r>
  <r>
    <n v="3283"/>
    <x v="52"/>
    <x v="2"/>
    <d v="2024-04-18T00:00:00"/>
    <x v="1"/>
    <n v="10"/>
    <x v="0"/>
    <x v="1"/>
    <x v="1"/>
    <x v="0"/>
    <n v="20"/>
    <n v="10"/>
    <n v="20"/>
  </r>
  <r>
    <n v="3284"/>
    <x v="53"/>
    <x v="1"/>
    <d v="2024-04-19T00:00:00"/>
    <x v="0"/>
    <n v="5"/>
    <x v="1"/>
    <x v="1"/>
    <x v="1"/>
    <x v="1"/>
    <n v="0"/>
    <n v="0"/>
    <n v="5"/>
  </r>
  <r>
    <n v="3285"/>
    <x v="54"/>
    <x v="0"/>
    <d v="2024-04-20T00:00:00"/>
    <x v="1"/>
    <n v="15"/>
    <x v="0"/>
    <x v="0"/>
    <x v="0"/>
    <x v="0"/>
    <n v="20"/>
    <n v="20"/>
    <n v="45"/>
  </r>
  <r>
    <n v="3286"/>
    <x v="55"/>
    <x v="2"/>
    <d v="2024-04-21T00:00:00"/>
    <x v="0"/>
    <n v="10"/>
    <x v="2"/>
    <x v="1"/>
    <x v="1"/>
    <x v="0"/>
    <n v="20"/>
    <n v="15"/>
    <n v="15"/>
  </r>
  <r>
    <n v="3287"/>
    <x v="56"/>
    <x v="1"/>
    <d v="2024-04-22T00:00:00"/>
    <x v="1"/>
    <n v="5"/>
    <x v="0"/>
    <x v="1"/>
    <x v="1"/>
    <x v="1"/>
    <n v="0"/>
    <n v="1"/>
    <n v="4"/>
  </r>
  <r>
    <n v="3288"/>
    <x v="57"/>
    <x v="0"/>
    <d v="2024-04-23T00:00:00"/>
    <x v="0"/>
    <n v="15"/>
    <x v="1"/>
    <x v="0"/>
    <x v="0"/>
    <x v="0"/>
    <n v="20"/>
    <n v="3"/>
    <n v="62"/>
  </r>
  <r>
    <n v="3289"/>
    <x v="58"/>
    <x v="2"/>
    <d v="2024-04-24T00:00:00"/>
    <x v="1"/>
    <n v="10"/>
    <x v="0"/>
    <x v="1"/>
    <x v="1"/>
    <x v="0"/>
    <n v="20"/>
    <n v="10"/>
    <n v="20"/>
  </r>
  <r>
    <n v="3290"/>
    <x v="59"/>
    <x v="1"/>
    <d v="2024-04-25T00:00:00"/>
    <x v="0"/>
    <n v="5"/>
    <x v="2"/>
    <x v="1"/>
    <x v="1"/>
    <x v="1"/>
    <n v="0"/>
    <n v="0"/>
    <n v="5"/>
  </r>
  <r>
    <n v="3291"/>
    <x v="60"/>
    <x v="0"/>
    <d v="2024-04-26T00:00:00"/>
    <x v="1"/>
    <n v="15"/>
    <x v="0"/>
    <x v="0"/>
    <x v="0"/>
    <x v="0"/>
    <n v="20"/>
    <n v="5"/>
    <n v="60"/>
  </r>
  <r>
    <n v="3292"/>
    <x v="61"/>
    <x v="2"/>
    <d v="2024-04-27T00:00:00"/>
    <x v="0"/>
    <n v="10"/>
    <x v="1"/>
    <x v="1"/>
    <x v="1"/>
    <x v="0"/>
    <n v="20"/>
    <n v="15"/>
    <n v="15"/>
  </r>
  <r>
    <n v="3293"/>
    <x v="62"/>
    <x v="1"/>
    <d v="2024-04-28T00:00:00"/>
    <x v="1"/>
    <n v="5"/>
    <x v="0"/>
    <x v="1"/>
    <x v="1"/>
    <x v="1"/>
    <n v="0"/>
    <n v="1"/>
    <n v="4"/>
  </r>
  <r>
    <n v="3294"/>
    <x v="63"/>
    <x v="0"/>
    <d v="2024-04-29T00:00:00"/>
    <x v="0"/>
    <n v="15"/>
    <x v="2"/>
    <x v="0"/>
    <x v="0"/>
    <x v="0"/>
    <n v="20"/>
    <n v="20"/>
    <n v="45"/>
  </r>
  <r>
    <n v="3295"/>
    <x v="64"/>
    <x v="2"/>
    <d v="2024-04-30T00:00:00"/>
    <x v="1"/>
    <n v="10"/>
    <x v="0"/>
    <x v="1"/>
    <x v="1"/>
    <x v="0"/>
    <n v="20"/>
    <n v="5"/>
    <n v="25"/>
  </r>
  <r>
    <n v="3296"/>
    <x v="65"/>
    <x v="1"/>
    <d v="2024-05-01T00:00:00"/>
    <x v="1"/>
    <n v="5"/>
    <x v="0"/>
    <x v="1"/>
    <x v="1"/>
    <x v="1"/>
    <n v="0"/>
    <n v="0"/>
    <n v="5"/>
  </r>
  <r>
    <n v="3297"/>
    <x v="66"/>
    <x v="0"/>
    <d v="2024-05-02T00:00:00"/>
    <x v="0"/>
    <n v="15"/>
    <x v="2"/>
    <x v="0"/>
    <x v="0"/>
    <x v="0"/>
    <n v="20"/>
    <n v="7"/>
    <n v="58"/>
  </r>
  <r>
    <n v="3298"/>
    <x v="67"/>
    <x v="2"/>
    <d v="2024-05-03T00:00:00"/>
    <x v="1"/>
    <n v="10"/>
    <x v="1"/>
    <x v="1"/>
    <x v="1"/>
    <x v="0"/>
    <n v="20"/>
    <n v="10"/>
    <n v="20"/>
  </r>
  <r>
    <n v="3299"/>
    <x v="68"/>
    <x v="1"/>
    <d v="2024-05-04T00:00:00"/>
    <x v="0"/>
    <n v="5"/>
    <x v="2"/>
    <x v="1"/>
    <x v="1"/>
    <x v="1"/>
    <n v="0"/>
    <n v="1"/>
    <n v="4"/>
  </r>
  <r>
    <n v="3300"/>
    <x v="69"/>
    <x v="0"/>
    <d v="2024-05-05T00:00:00"/>
    <x v="1"/>
    <n v="15"/>
    <x v="0"/>
    <x v="0"/>
    <x v="0"/>
    <x v="0"/>
    <n v="20"/>
    <n v="15"/>
    <n v="50"/>
  </r>
  <r>
    <n v="3301"/>
    <x v="70"/>
    <x v="2"/>
    <d v="2024-05-06T00:00:00"/>
    <x v="0"/>
    <n v="10"/>
    <x v="0"/>
    <x v="1"/>
    <x v="1"/>
    <x v="0"/>
    <n v="20"/>
    <n v="5"/>
    <n v="25"/>
  </r>
  <r>
    <n v="3302"/>
    <x v="71"/>
    <x v="1"/>
    <d v="2024-05-07T00:00:00"/>
    <x v="1"/>
    <n v="5"/>
    <x v="1"/>
    <x v="1"/>
    <x v="1"/>
    <x v="1"/>
    <n v="0"/>
    <n v="0"/>
    <n v="5"/>
  </r>
  <r>
    <n v="3303"/>
    <x v="72"/>
    <x v="0"/>
    <d v="2024-05-08T00:00:00"/>
    <x v="0"/>
    <n v="15"/>
    <x v="2"/>
    <x v="0"/>
    <x v="0"/>
    <x v="0"/>
    <n v="20"/>
    <n v="20"/>
    <n v="45"/>
  </r>
  <r>
    <n v="3304"/>
    <x v="73"/>
    <x v="2"/>
    <d v="2024-05-09T00:00:00"/>
    <x v="1"/>
    <n v="10"/>
    <x v="2"/>
    <x v="1"/>
    <x v="1"/>
    <x v="0"/>
    <n v="20"/>
    <n v="12"/>
    <n v="18"/>
  </r>
  <r>
    <n v="3305"/>
    <x v="74"/>
    <x v="1"/>
    <d v="2024-05-10T00:00:00"/>
    <x v="0"/>
    <n v="5"/>
    <x v="0"/>
    <x v="1"/>
    <x v="1"/>
    <x v="1"/>
    <n v="0"/>
    <n v="2"/>
    <n v="3"/>
  </r>
  <r>
    <n v="3306"/>
    <x v="75"/>
    <x v="0"/>
    <d v="2024-05-11T00:00:00"/>
    <x v="1"/>
    <n v="15"/>
    <x v="1"/>
    <x v="0"/>
    <x v="0"/>
    <x v="0"/>
    <n v="20"/>
    <n v="5"/>
    <n v="60"/>
  </r>
  <r>
    <n v="3307"/>
    <x v="76"/>
    <x v="2"/>
    <d v="2024-05-12T00:00:00"/>
    <x v="0"/>
    <n v="10"/>
    <x v="0"/>
    <x v="1"/>
    <x v="1"/>
    <x v="0"/>
    <n v="20"/>
    <n v="10"/>
    <n v="20"/>
  </r>
  <r>
    <n v="3308"/>
    <x v="77"/>
    <x v="1"/>
    <d v="2024-05-13T00:00:00"/>
    <x v="1"/>
    <n v="5"/>
    <x v="2"/>
    <x v="1"/>
    <x v="1"/>
    <x v="1"/>
    <n v="0"/>
    <n v="0"/>
    <n v="5"/>
  </r>
  <r>
    <n v="3309"/>
    <x v="78"/>
    <x v="0"/>
    <d v="2024-05-14T00:00:00"/>
    <x v="0"/>
    <n v="15"/>
    <x v="0"/>
    <x v="0"/>
    <x v="0"/>
    <x v="0"/>
    <n v="20"/>
    <n v="3"/>
    <n v="62"/>
  </r>
  <r>
    <n v="3310"/>
    <x v="79"/>
    <x v="2"/>
    <d v="2024-05-15T00:00:00"/>
    <x v="1"/>
    <n v="10"/>
    <x v="1"/>
    <x v="1"/>
    <x v="1"/>
    <x v="0"/>
    <n v="20"/>
    <n v="15"/>
    <n v="15"/>
  </r>
  <r>
    <n v="3311"/>
    <x v="80"/>
    <x v="1"/>
    <d v="2024-05-16T00:00:00"/>
    <x v="0"/>
    <n v="5"/>
    <x v="0"/>
    <x v="1"/>
    <x v="1"/>
    <x v="1"/>
    <n v="0"/>
    <n v="1"/>
    <n v="4"/>
  </r>
  <r>
    <n v="3312"/>
    <x v="81"/>
    <x v="0"/>
    <d v="2024-05-17T00:00:00"/>
    <x v="1"/>
    <n v="15"/>
    <x v="2"/>
    <x v="0"/>
    <x v="0"/>
    <x v="0"/>
    <n v="20"/>
    <n v="7"/>
    <n v="58"/>
  </r>
  <r>
    <n v="3313"/>
    <x v="82"/>
    <x v="2"/>
    <d v="2024-05-18T00:00:00"/>
    <x v="0"/>
    <n v="10"/>
    <x v="0"/>
    <x v="1"/>
    <x v="1"/>
    <x v="0"/>
    <n v="20"/>
    <n v="10"/>
    <n v="20"/>
  </r>
  <r>
    <n v="3314"/>
    <x v="83"/>
    <x v="1"/>
    <d v="2024-05-19T00:00:00"/>
    <x v="1"/>
    <n v="5"/>
    <x v="1"/>
    <x v="1"/>
    <x v="1"/>
    <x v="1"/>
    <n v="0"/>
    <n v="0"/>
    <n v="5"/>
  </r>
  <r>
    <n v="3315"/>
    <x v="84"/>
    <x v="0"/>
    <d v="2024-05-20T00:00:00"/>
    <x v="0"/>
    <n v="15"/>
    <x v="0"/>
    <x v="0"/>
    <x v="0"/>
    <x v="0"/>
    <n v="20"/>
    <n v="20"/>
    <n v="45"/>
  </r>
  <r>
    <n v="3316"/>
    <x v="85"/>
    <x v="2"/>
    <d v="2024-05-21T00:00:00"/>
    <x v="1"/>
    <n v="10"/>
    <x v="2"/>
    <x v="1"/>
    <x v="1"/>
    <x v="0"/>
    <n v="20"/>
    <n v="15"/>
    <n v="15"/>
  </r>
  <r>
    <n v="3317"/>
    <x v="86"/>
    <x v="1"/>
    <d v="2024-05-22T00:00:00"/>
    <x v="0"/>
    <n v="5"/>
    <x v="0"/>
    <x v="1"/>
    <x v="1"/>
    <x v="1"/>
    <n v="0"/>
    <n v="1"/>
    <n v="4"/>
  </r>
  <r>
    <n v="3318"/>
    <x v="87"/>
    <x v="0"/>
    <d v="2024-05-23T00:00:00"/>
    <x v="1"/>
    <n v="15"/>
    <x v="1"/>
    <x v="0"/>
    <x v="0"/>
    <x v="0"/>
    <n v="20"/>
    <n v="3"/>
    <n v="62"/>
  </r>
  <r>
    <n v="3319"/>
    <x v="88"/>
    <x v="2"/>
    <d v="2024-05-24T00:00:00"/>
    <x v="0"/>
    <n v="10"/>
    <x v="0"/>
    <x v="1"/>
    <x v="1"/>
    <x v="0"/>
    <n v="20"/>
    <n v="10"/>
    <n v="20"/>
  </r>
  <r>
    <n v="3320"/>
    <x v="89"/>
    <x v="1"/>
    <d v="2024-05-25T00:00:00"/>
    <x v="1"/>
    <n v="5"/>
    <x v="2"/>
    <x v="1"/>
    <x v="1"/>
    <x v="1"/>
    <n v="0"/>
    <n v="0"/>
    <n v="5"/>
  </r>
  <r>
    <n v="3321"/>
    <x v="90"/>
    <x v="0"/>
    <d v="2024-05-26T00:00:00"/>
    <x v="0"/>
    <n v="15"/>
    <x v="0"/>
    <x v="0"/>
    <x v="0"/>
    <x v="0"/>
    <n v="20"/>
    <n v="5"/>
    <n v="60"/>
  </r>
  <r>
    <n v="3322"/>
    <x v="91"/>
    <x v="2"/>
    <d v="2024-05-27T00:00:00"/>
    <x v="1"/>
    <n v="10"/>
    <x v="1"/>
    <x v="1"/>
    <x v="1"/>
    <x v="0"/>
    <n v="20"/>
    <n v="15"/>
    <n v="15"/>
  </r>
  <r>
    <n v="3323"/>
    <x v="92"/>
    <x v="1"/>
    <d v="2024-05-28T00:00:00"/>
    <x v="0"/>
    <n v="5"/>
    <x v="0"/>
    <x v="1"/>
    <x v="1"/>
    <x v="1"/>
    <n v="0"/>
    <n v="1"/>
    <n v="4"/>
  </r>
  <r>
    <n v="3324"/>
    <x v="93"/>
    <x v="0"/>
    <d v="2024-05-29T00:00:00"/>
    <x v="1"/>
    <n v="15"/>
    <x v="2"/>
    <x v="0"/>
    <x v="0"/>
    <x v="0"/>
    <n v="20"/>
    <n v="20"/>
    <n v="45"/>
  </r>
  <r>
    <n v="3325"/>
    <x v="94"/>
    <x v="2"/>
    <d v="2024-05-30T00:00:00"/>
    <x v="0"/>
    <n v="10"/>
    <x v="2"/>
    <x v="1"/>
    <x v="1"/>
    <x v="0"/>
    <n v="20"/>
    <n v="15"/>
    <n v="15"/>
  </r>
  <r>
    <n v="3326"/>
    <x v="95"/>
    <x v="1"/>
    <d v="2024-05-31T00:00:00"/>
    <x v="1"/>
    <n v="5"/>
    <x v="1"/>
    <x v="1"/>
    <x v="1"/>
    <x v="1"/>
    <n v="0"/>
    <n v="0"/>
    <n v="5"/>
  </r>
  <r>
    <n v="3327"/>
    <x v="96"/>
    <x v="0"/>
    <d v="2024-06-01T00:00:00"/>
    <x v="0"/>
    <n v="15"/>
    <x v="0"/>
    <x v="0"/>
    <x v="0"/>
    <x v="0"/>
    <n v="20"/>
    <n v="7"/>
    <n v="58"/>
  </r>
  <r>
    <n v="3328"/>
    <x v="97"/>
    <x v="2"/>
    <d v="2024-06-02T00:00:00"/>
    <x v="1"/>
    <n v="10"/>
    <x v="1"/>
    <x v="1"/>
    <x v="1"/>
    <x v="0"/>
    <n v="20"/>
    <n v="10"/>
    <n v="20"/>
  </r>
  <r>
    <n v="3329"/>
    <x v="98"/>
    <x v="1"/>
    <d v="2024-06-03T00:00:00"/>
    <x v="0"/>
    <n v="5"/>
    <x v="2"/>
    <x v="1"/>
    <x v="1"/>
    <x v="1"/>
    <n v="0"/>
    <n v="1"/>
    <n v="4"/>
  </r>
  <r>
    <n v="3330"/>
    <x v="99"/>
    <x v="0"/>
    <d v="2024-06-04T00:00:00"/>
    <x v="1"/>
    <n v="15"/>
    <x v="0"/>
    <x v="0"/>
    <x v="0"/>
    <x v="0"/>
    <n v="20"/>
    <n v="15"/>
    <n v="50"/>
  </r>
  <r>
    <n v="3331"/>
    <x v="100"/>
    <x v="2"/>
    <d v="2024-06-05T00:00:00"/>
    <x v="0"/>
    <n v="10"/>
    <x v="0"/>
    <x v="1"/>
    <x v="1"/>
    <x v="0"/>
    <n v="20"/>
    <n v="5"/>
    <n v="25"/>
  </r>
  <r>
    <n v="3332"/>
    <x v="101"/>
    <x v="1"/>
    <d v="2024-06-06T00:00:00"/>
    <x v="1"/>
    <n v="5"/>
    <x v="1"/>
    <x v="1"/>
    <x v="1"/>
    <x v="1"/>
    <n v="0"/>
    <n v="0"/>
    <n v="5"/>
  </r>
  <r>
    <n v="3333"/>
    <x v="102"/>
    <x v="0"/>
    <d v="2024-06-07T00:00:00"/>
    <x v="0"/>
    <n v="15"/>
    <x v="2"/>
    <x v="0"/>
    <x v="0"/>
    <x v="0"/>
    <n v="20"/>
    <n v="20"/>
    <n v="45"/>
  </r>
  <r>
    <n v="3334"/>
    <x v="103"/>
    <x v="2"/>
    <d v="2024-06-08T00:00:00"/>
    <x v="1"/>
    <n v="10"/>
    <x v="2"/>
    <x v="1"/>
    <x v="1"/>
    <x v="0"/>
    <n v="20"/>
    <n v="12"/>
    <n v="18"/>
  </r>
  <r>
    <n v="3335"/>
    <x v="104"/>
    <x v="1"/>
    <d v="2024-06-09T00:00:00"/>
    <x v="0"/>
    <n v="5"/>
    <x v="0"/>
    <x v="1"/>
    <x v="1"/>
    <x v="1"/>
    <n v="0"/>
    <n v="2"/>
    <n v="3"/>
  </r>
  <r>
    <n v="3336"/>
    <x v="105"/>
    <x v="1"/>
    <d v="2024-06-10T00:00:00"/>
    <x v="0"/>
    <n v="5"/>
    <x v="0"/>
    <x v="1"/>
    <x v="1"/>
    <x v="1"/>
    <n v="0"/>
    <n v="0"/>
    <n v="5"/>
  </r>
  <r>
    <n v="3337"/>
    <x v="106"/>
    <x v="0"/>
    <d v="2024-06-11T00:00:00"/>
    <x v="1"/>
    <n v="15"/>
    <x v="2"/>
    <x v="0"/>
    <x v="0"/>
    <x v="0"/>
    <n v="20"/>
    <n v="7"/>
    <n v="58"/>
  </r>
  <r>
    <n v="3338"/>
    <x v="107"/>
    <x v="2"/>
    <d v="2024-06-12T00:00:00"/>
    <x v="0"/>
    <n v="10"/>
    <x v="1"/>
    <x v="1"/>
    <x v="1"/>
    <x v="0"/>
    <n v="20"/>
    <n v="10"/>
    <n v="20"/>
  </r>
  <r>
    <n v="3339"/>
    <x v="108"/>
    <x v="1"/>
    <d v="2024-06-13T00:00:00"/>
    <x v="1"/>
    <n v="5"/>
    <x v="2"/>
    <x v="1"/>
    <x v="1"/>
    <x v="1"/>
    <n v="0"/>
    <n v="1"/>
    <n v="4"/>
  </r>
  <r>
    <n v="3340"/>
    <x v="109"/>
    <x v="0"/>
    <d v="2024-06-14T00:00:00"/>
    <x v="0"/>
    <n v="15"/>
    <x v="0"/>
    <x v="0"/>
    <x v="0"/>
    <x v="0"/>
    <n v="20"/>
    <n v="15"/>
    <n v="50"/>
  </r>
  <r>
    <n v="3341"/>
    <x v="110"/>
    <x v="2"/>
    <d v="2024-06-15T00:00:00"/>
    <x v="1"/>
    <n v="10"/>
    <x v="0"/>
    <x v="1"/>
    <x v="1"/>
    <x v="0"/>
    <n v="20"/>
    <n v="5"/>
    <n v="25"/>
  </r>
  <r>
    <n v="3342"/>
    <x v="111"/>
    <x v="1"/>
    <d v="2024-06-16T00:00:00"/>
    <x v="0"/>
    <n v="5"/>
    <x v="1"/>
    <x v="1"/>
    <x v="1"/>
    <x v="1"/>
    <n v="0"/>
    <n v="0"/>
    <n v="5"/>
  </r>
  <r>
    <n v="3343"/>
    <x v="112"/>
    <x v="0"/>
    <d v="2024-06-17T00:00:00"/>
    <x v="1"/>
    <n v="15"/>
    <x v="2"/>
    <x v="0"/>
    <x v="0"/>
    <x v="0"/>
    <n v="20"/>
    <n v="20"/>
    <n v="45"/>
  </r>
  <r>
    <n v="3344"/>
    <x v="113"/>
    <x v="2"/>
    <d v="2024-06-18T00:00:00"/>
    <x v="0"/>
    <n v="10"/>
    <x v="2"/>
    <x v="1"/>
    <x v="1"/>
    <x v="0"/>
    <n v="20"/>
    <n v="12"/>
    <n v="18"/>
  </r>
  <r>
    <n v="3345"/>
    <x v="114"/>
    <x v="1"/>
    <d v="2024-06-19T00:00:00"/>
    <x v="1"/>
    <n v="5"/>
    <x v="0"/>
    <x v="1"/>
    <x v="1"/>
    <x v="1"/>
    <n v="0"/>
    <n v="2"/>
    <n v="3"/>
  </r>
  <r>
    <n v="3346"/>
    <x v="115"/>
    <x v="0"/>
    <d v="2024-06-20T00:00:00"/>
    <x v="0"/>
    <n v="15"/>
    <x v="1"/>
    <x v="0"/>
    <x v="0"/>
    <x v="0"/>
    <n v="20"/>
    <n v="5"/>
    <n v="60"/>
  </r>
  <r>
    <n v="3347"/>
    <x v="116"/>
    <x v="2"/>
    <d v="2024-06-21T00:00:00"/>
    <x v="1"/>
    <n v="10"/>
    <x v="0"/>
    <x v="1"/>
    <x v="1"/>
    <x v="0"/>
    <n v="20"/>
    <n v="10"/>
    <n v="20"/>
  </r>
  <r>
    <n v="3348"/>
    <x v="117"/>
    <x v="1"/>
    <d v="2024-06-22T00:00:00"/>
    <x v="0"/>
    <n v="5"/>
    <x v="2"/>
    <x v="1"/>
    <x v="1"/>
    <x v="1"/>
    <n v="0"/>
    <n v="0"/>
    <n v="5"/>
  </r>
  <r>
    <n v="3349"/>
    <x v="93"/>
    <x v="0"/>
    <d v="2024-06-23T00:00:00"/>
    <x v="1"/>
    <n v="15"/>
    <x v="0"/>
    <x v="0"/>
    <x v="0"/>
    <x v="0"/>
    <n v="20"/>
    <n v="3"/>
    <n v="62"/>
  </r>
  <r>
    <n v="3350"/>
    <x v="118"/>
    <x v="2"/>
    <d v="2024-06-24T00:00:00"/>
    <x v="0"/>
    <n v="10"/>
    <x v="1"/>
    <x v="1"/>
    <x v="1"/>
    <x v="0"/>
    <n v="20"/>
    <n v="15"/>
    <n v="15"/>
  </r>
  <r>
    <n v="3351"/>
    <x v="119"/>
    <x v="1"/>
    <d v="2024-06-25T00:00:00"/>
    <x v="1"/>
    <n v="5"/>
    <x v="0"/>
    <x v="1"/>
    <x v="1"/>
    <x v="1"/>
    <n v="0"/>
    <n v="1"/>
    <n v="4"/>
  </r>
  <r>
    <n v="3352"/>
    <x v="120"/>
    <x v="0"/>
    <d v="2024-06-26T00:00:00"/>
    <x v="0"/>
    <n v="15"/>
    <x v="2"/>
    <x v="0"/>
    <x v="0"/>
    <x v="0"/>
    <n v="20"/>
    <n v="7"/>
    <n v="58"/>
  </r>
  <r>
    <n v="3353"/>
    <x v="121"/>
    <x v="2"/>
    <d v="2024-06-27T00:00:00"/>
    <x v="1"/>
    <n v="10"/>
    <x v="0"/>
    <x v="1"/>
    <x v="1"/>
    <x v="0"/>
    <n v="20"/>
    <n v="10"/>
    <n v="20"/>
  </r>
  <r>
    <n v="3354"/>
    <x v="122"/>
    <x v="1"/>
    <d v="2024-06-28T00:00:00"/>
    <x v="0"/>
    <n v="5"/>
    <x v="1"/>
    <x v="1"/>
    <x v="1"/>
    <x v="1"/>
    <n v="0"/>
    <n v="0"/>
    <n v="5"/>
  </r>
  <r>
    <n v="3355"/>
    <x v="123"/>
    <x v="0"/>
    <d v="2024-06-29T00:00:00"/>
    <x v="1"/>
    <n v="15"/>
    <x v="0"/>
    <x v="0"/>
    <x v="0"/>
    <x v="0"/>
    <n v="20"/>
    <n v="20"/>
    <n v="45"/>
  </r>
  <r>
    <n v="3356"/>
    <x v="124"/>
    <x v="2"/>
    <d v="2024-06-30T00:00:00"/>
    <x v="0"/>
    <n v="10"/>
    <x v="2"/>
    <x v="1"/>
    <x v="1"/>
    <x v="0"/>
    <n v="20"/>
    <n v="15"/>
    <n v="15"/>
  </r>
  <r>
    <n v="3357"/>
    <x v="125"/>
    <x v="1"/>
    <d v="2024-07-01T00:00:00"/>
    <x v="1"/>
    <n v="5"/>
    <x v="0"/>
    <x v="1"/>
    <x v="1"/>
    <x v="1"/>
    <n v="0"/>
    <n v="1"/>
    <n v="4"/>
  </r>
  <r>
    <n v="3358"/>
    <x v="126"/>
    <x v="0"/>
    <d v="2024-07-02T00:00:00"/>
    <x v="0"/>
    <n v="15"/>
    <x v="1"/>
    <x v="0"/>
    <x v="0"/>
    <x v="0"/>
    <n v="20"/>
    <n v="3"/>
    <n v="62"/>
  </r>
  <r>
    <n v="3359"/>
    <x v="127"/>
    <x v="2"/>
    <d v="2024-07-03T00:00:00"/>
    <x v="1"/>
    <n v="10"/>
    <x v="0"/>
    <x v="1"/>
    <x v="1"/>
    <x v="0"/>
    <n v="20"/>
    <n v="10"/>
    <n v="20"/>
  </r>
  <r>
    <n v="3360"/>
    <x v="128"/>
    <x v="1"/>
    <d v="2024-07-04T00:00:00"/>
    <x v="0"/>
    <n v="5"/>
    <x v="2"/>
    <x v="1"/>
    <x v="1"/>
    <x v="1"/>
    <n v="0"/>
    <n v="0"/>
    <n v="5"/>
  </r>
  <r>
    <n v="3361"/>
    <x v="129"/>
    <x v="0"/>
    <d v="2024-07-05T00:00:00"/>
    <x v="1"/>
    <n v="15"/>
    <x v="0"/>
    <x v="0"/>
    <x v="0"/>
    <x v="0"/>
    <n v="20"/>
    <n v="15"/>
    <n v="50"/>
  </r>
  <r>
    <n v="3362"/>
    <x v="130"/>
    <x v="2"/>
    <d v="2024-07-06T00:00:00"/>
    <x v="0"/>
    <n v="10"/>
    <x v="1"/>
    <x v="1"/>
    <x v="1"/>
    <x v="0"/>
    <n v="20"/>
    <n v="15"/>
    <n v="15"/>
  </r>
  <r>
    <n v="3363"/>
    <x v="131"/>
    <x v="1"/>
    <d v="2024-07-07T00:00:00"/>
    <x v="1"/>
    <n v="5"/>
    <x v="0"/>
    <x v="1"/>
    <x v="1"/>
    <x v="1"/>
    <n v="0"/>
    <n v="1"/>
    <n v="4"/>
  </r>
  <r>
    <n v="3364"/>
    <x v="132"/>
    <x v="0"/>
    <d v="2024-07-08T00:00:00"/>
    <x v="0"/>
    <n v="15"/>
    <x v="2"/>
    <x v="0"/>
    <x v="0"/>
    <x v="0"/>
    <n v="20"/>
    <n v="7"/>
    <n v="58"/>
  </r>
  <r>
    <n v="3365"/>
    <x v="133"/>
    <x v="2"/>
    <d v="2024-07-09T00:00:00"/>
    <x v="1"/>
    <n v="10"/>
    <x v="0"/>
    <x v="1"/>
    <x v="1"/>
    <x v="0"/>
    <n v="20"/>
    <n v="10"/>
    <n v="20"/>
  </r>
  <r>
    <n v="3366"/>
    <x v="134"/>
    <x v="1"/>
    <d v="2024-07-10T00:00:00"/>
    <x v="0"/>
    <n v="5"/>
    <x v="0"/>
    <x v="1"/>
    <x v="1"/>
    <x v="1"/>
    <n v="0"/>
    <n v="0"/>
    <n v="5"/>
  </r>
  <r>
    <n v="3367"/>
    <x v="135"/>
    <x v="0"/>
    <d v="2024-07-11T00:00:00"/>
    <x v="1"/>
    <n v="15"/>
    <x v="2"/>
    <x v="0"/>
    <x v="0"/>
    <x v="0"/>
    <n v="20"/>
    <n v="7"/>
    <n v="58"/>
  </r>
  <r>
    <n v="3368"/>
    <x v="136"/>
    <x v="2"/>
    <d v="2024-07-12T00:00:00"/>
    <x v="0"/>
    <n v="10"/>
    <x v="1"/>
    <x v="1"/>
    <x v="1"/>
    <x v="0"/>
    <n v="20"/>
    <n v="10"/>
    <n v="20"/>
  </r>
  <r>
    <n v="3369"/>
    <x v="137"/>
    <x v="1"/>
    <d v="2024-07-13T00:00:00"/>
    <x v="1"/>
    <n v="5"/>
    <x v="2"/>
    <x v="1"/>
    <x v="1"/>
    <x v="1"/>
    <n v="0"/>
    <n v="1"/>
    <n v="4"/>
  </r>
  <r>
    <n v="3370"/>
    <x v="138"/>
    <x v="0"/>
    <d v="2024-07-14T00:00:00"/>
    <x v="0"/>
    <n v="15"/>
    <x v="0"/>
    <x v="0"/>
    <x v="0"/>
    <x v="0"/>
    <n v="20"/>
    <n v="15"/>
    <n v="50"/>
  </r>
  <r>
    <n v="3371"/>
    <x v="139"/>
    <x v="2"/>
    <d v="2024-07-15T00:00:00"/>
    <x v="1"/>
    <n v="10"/>
    <x v="0"/>
    <x v="1"/>
    <x v="1"/>
    <x v="0"/>
    <n v="20"/>
    <n v="5"/>
    <n v="25"/>
  </r>
  <r>
    <n v="3372"/>
    <x v="140"/>
    <x v="1"/>
    <d v="2024-07-16T00:00:00"/>
    <x v="0"/>
    <n v="5"/>
    <x v="1"/>
    <x v="1"/>
    <x v="1"/>
    <x v="1"/>
    <n v="0"/>
    <n v="0"/>
    <n v="5"/>
  </r>
  <r>
    <n v="3373"/>
    <x v="141"/>
    <x v="0"/>
    <d v="2024-07-17T00:00:00"/>
    <x v="1"/>
    <n v="15"/>
    <x v="2"/>
    <x v="0"/>
    <x v="0"/>
    <x v="0"/>
    <n v="20"/>
    <n v="20"/>
    <n v="45"/>
  </r>
  <r>
    <n v="3374"/>
    <x v="142"/>
    <x v="2"/>
    <d v="2024-07-18T00:00:00"/>
    <x v="0"/>
    <n v="10"/>
    <x v="2"/>
    <x v="1"/>
    <x v="1"/>
    <x v="0"/>
    <n v="20"/>
    <n v="12"/>
    <n v="18"/>
  </r>
  <r>
    <n v="3375"/>
    <x v="143"/>
    <x v="1"/>
    <d v="2024-07-19T00:00:00"/>
    <x v="1"/>
    <n v="5"/>
    <x v="0"/>
    <x v="1"/>
    <x v="1"/>
    <x v="1"/>
    <n v="0"/>
    <n v="2"/>
    <n v="3"/>
  </r>
  <r>
    <n v="3376"/>
    <x v="144"/>
    <x v="0"/>
    <d v="2024-07-20T00:00:00"/>
    <x v="0"/>
    <n v="15"/>
    <x v="1"/>
    <x v="0"/>
    <x v="0"/>
    <x v="0"/>
    <n v="20"/>
    <n v="5"/>
    <n v="60"/>
  </r>
  <r>
    <n v="3377"/>
    <x v="145"/>
    <x v="2"/>
    <d v="2024-07-21T00:00:00"/>
    <x v="1"/>
    <n v="10"/>
    <x v="0"/>
    <x v="1"/>
    <x v="1"/>
    <x v="0"/>
    <n v="20"/>
    <n v="10"/>
    <n v="20"/>
  </r>
  <r>
    <n v="3378"/>
    <x v="146"/>
    <x v="1"/>
    <d v="2024-07-22T00:00:00"/>
    <x v="0"/>
    <n v="5"/>
    <x v="2"/>
    <x v="1"/>
    <x v="1"/>
    <x v="1"/>
    <n v="0"/>
    <n v="0"/>
    <n v="5"/>
  </r>
  <r>
    <n v="3379"/>
    <x v="147"/>
    <x v="0"/>
    <d v="2024-07-23T00:00:00"/>
    <x v="1"/>
    <n v="15"/>
    <x v="0"/>
    <x v="0"/>
    <x v="0"/>
    <x v="0"/>
    <n v="20"/>
    <n v="3"/>
    <n v="62"/>
  </r>
  <r>
    <n v="3380"/>
    <x v="148"/>
    <x v="2"/>
    <d v="2024-07-24T00:00:00"/>
    <x v="0"/>
    <n v="10"/>
    <x v="1"/>
    <x v="1"/>
    <x v="1"/>
    <x v="0"/>
    <n v="20"/>
    <n v="15"/>
    <n v="15"/>
  </r>
  <r>
    <n v="3381"/>
    <x v="149"/>
    <x v="1"/>
    <d v="2024-07-25T00:00:00"/>
    <x v="1"/>
    <n v="5"/>
    <x v="0"/>
    <x v="1"/>
    <x v="1"/>
    <x v="1"/>
    <n v="0"/>
    <n v="1"/>
    <n v="4"/>
  </r>
  <r>
    <n v="3382"/>
    <x v="150"/>
    <x v="0"/>
    <d v="2024-07-26T00:00:00"/>
    <x v="0"/>
    <n v="15"/>
    <x v="2"/>
    <x v="0"/>
    <x v="0"/>
    <x v="0"/>
    <n v="20"/>
    <n v="7"/>
    <n v="58"/>
  </r>
  <r>
    <n v="3383"/>
    <x v="151"/>
    <x v="2"/>
    <d v="2024-07-27T00:00:00"/>
    <x v="1"/>
    <n v="10"/>
    <x v="0"/>
    <x v="1"/>
    <x v="1"/>
    <x v="0"/>
    <n v="20"/>
    <n v="10"/>
    <n v="20"/>
  </r>
  <r>
    <n v="3384"/>
    <x v="152"/>
    <x v="1"/>
    <d v="2024-07-28T00:00:00"/>
    <x v="0"/>
    <n v="5"/>
    <x v="1"/>
    <x v="1"/>
    <x v="1"/>
    <x v="1"/>
    <n v="0"/>
    <n v="0"/>
    <n v="5"/>
  </r>
  <r>
    <n v="3385"/>
    <x v="153"/>
    <x v="0"/>
    <d v="2024-07-29T00:00:00"/>
    <x v="1"/>
    <n v="15"/>
    <x v="0"/>
    <x v="0"/>
    <x v="0"/>
    <x v="0"/>
    <n v="20"/>
    <n v="20"/>
    <n v="45"/>
  </r>
  <r>
    <n v="3386"/>
    <x v="154"/>
    <x v="2"/>
    <d v="2024-07-30T00:00:00"/>
    <x v="0"/>
    <n v="10"/>
    <x v="2"/>
    <x v="1"/>
    <x v="1"/>
    <x v="0"/>
    <n v="20"/>
    <n v="15"/>
    <n v="15"/>
  </r>
  <r>
    <n v="3387"/>
    <x v="155"/>
    <x v="1"/>
    <d v="2024-07-31T00:00:00"/>
    <x v="1"/>
    <n v="5"/>
    <x v="0"/>
    <x v="1"/>
    <x v="1"/>
    <x v="1"/>
    <n v="0"/>
    <n v="1"/>
    <n v="4"/>
  </r>
  <r>
    <n v="3388"/>
    <x v="156"/>
    <x v="0"/>
    <d v="2024-08-01T00:00:00"/>
    <x v="0"/>
    <n v="15"/>
    <x v="1"/>
    <x v="0"/>
    <x v="0"/>
    <x v="0"/>
    <n v="20"/>
    <n v="3"/>
    <n v="62"/>
  </r>
  <r>
    <n v="3389"/>
    <x v="157"/>
    <x v="2"/>
    <d v="2024-08-02T00:00:00"/>
    <x v="1"/>
    <n v="10"/>
    <x v="0"/>
    <x v="1"/>
    <x v="1"/>
    <x v="0"/>
    <n v="20"/>
    <n v="10"/>
    <n v="20"/>
  </r>
  <r>
    <n v="3390"/>
    <x v="158"/>
    <x v="1"/>
    <d v="2024-08-03T00:00:00"/>
    <x v="0"/>
    <n v="5"/>
    <x v="2"/>
    <x v="1"/>
    <x v="1"/>
    <x v="1"/>
    <n v="0"/>
    <n v="0"/>
    <n v="5"/>
  </r>
  <r>
    <n v="3391"/>
    <x v="58"/>
    <x v="0"/>
    <d v="2024-08-04T00:00:00"/>
    <x v="1"/>
    <n v="15"/>
    <x v="0"/>
    <x v="0"/>
    <x v="0"/>
    <x v="0"/>
    <n v="20"/>
    <n v="15"/>
    <n v="50"/>
  </r>
  <r>
    <n v="3392"/>
    <x v="159"/>
    <x v="2"/>
    <d v="2024-08-05T00:00:00"/>
    <x v="0"/>
    <n v="10"/>
    <x v="1"/>
    <x v="1"/>
    <x v="1"/>
    <x v="0"/>
    <n v="20"/>
    <n v="15"/>
    <n v="15"/>
  </r>
  <r>
    <n v="3393"/>
    <x v="160"/>
    <x v="1"/>
    <d v="2024-08-06T00:00:00"/>
    <x v="1"/>
    <n v="5"/>
    <x v="0"/>
    <x v="1"/>
    <x v="1"/>
    <x v="1"/>
    <n v="0"/>
    <n v="1"/>
    <n v="4"/>
  </r>
  <r>
    <n v="3394"/>
    <x v="161"/>
    <x v="0"/>
    <d v="2024-08-07T00:00:00"/>
    <x v="0"/>
    <n v="15"/>
    <x v="2"/>
    <x v="0"/>
    <x v="0"/>
    <x v="0"/>
    <n v="20"/>
    <n v="7"/>
    <n v="58"/>
  </r>
  <r>
    <n v="3395"/>
    <x v="162"/>
    <x v="2"/>
    <d v="2024-08-08T00:00:00"/>
    <x v="1"/>
    <n v="10"/>
    <x v="0"/>
    <x v="1"/>
    <x v="1"/>
    <x v="0"/>
    <n v="20"/>
    <n v="10"/>
    <n v="20"/>
  </r>
  <r>
    <n v="3396"/>
    <x v="163"/>
    <x v="1"/>
    <d v="2024-08-09T00:00:00"/>
    <x v="0"/>
    <n v="5"/>
    <x v="1"/>
    <x v="1"/>
    <x v="1"/>
    <x v="1"/>
    <n v="0"/>
    <n v="0"/>
    <n v="5"/>
  </r>
  <r>
    <n v="3397"/>
    <x v="90"/>
    <x v="0"/>
    <d v="2024-08-10T00:00:00"/>
    <x v="1"/>
    <n v="15"/>
    <x v="0"/>
    <x v="0"/>
    <x v="0"/>
    <x v="0"/>
    <n v="20"/>
    <n v="20"/>
    <n v="45"/>
  </r>
  <r>
    <n v="3398"/>
    <x v="164"/>
    <x v="2"/>
    <d v="2024-08-11T00:00:00"/>
    <x v="0"/>
    <n v="10"/>
    <x v="2"/>
    <x v="1"/>
    <x v="1"/>
    <x v="0"/>
    <n v="20"/>
    <n v="15"/>
    <n v="15"/>
  </r>
  <r>
    <n v="3399"/>
    <x v="165"/>
    <x v="1"/>
    <d v="2024-08-12T00:00:00"/>
    <x v="1"/>
    <n v="5"/>
    <x v="0"/>
    <x v="1"/>
    <x v="1"/>
    <x v="1"/>
    <n v="0"/>
    <n v="1"/>
    <n v="4"/>
  </r>
  <r>
    <n v="3400"/>
    <x v="166"/>
    <x v="0"/>
    <d v="2024-08-13T00:00:00"/>
    <x v="0"/>
    <n v="15"/>
    <x v="1"/>
    <x v="0"/>
    <x v="0"/>
    <x v="0"/>
    <n v="20"/>
    <n v="5"/>
    <n v="60"/>
  </r>
  <r>
    <n v="3401"/>
    <x v="167"/>
    <x v="2"/>
    <d v="2024-08-14T00:00:00"/>
    <x v="1"/>
    <n v="10"/>
    <x v="0"/>
    <x v="1"/>
    <x v="1"/>
    <x v="0"/>
    <n v="20"/>
    <n v="10"/>
    <n v="20"/>
  </r>
  <r>
    <n v="3402"/>
    <x v="168"/>
    <x v="1"/>
    <d v="2024-08-15T00:00:00"/>
    <x v="0"/>
    <n v="5"/>
    <x v="2"/>
    <x v="1"/>
    <x v="1"/>
    <x v="1"/>
    <n v="0"/>
    <n v="0"/>
    <n v="5"/>
  </r>
  <r>
    <n v="3403"/>
    <x v="169"/>
    <x v="0"/>
    <d v="2024-08-16T00:00:00"/>
    <x v="1"/>
    <n v="15"/>
    <x v="0"/>
    <x v="0"/>
    <x v="0"/>
    <x v="0"/>
    <n v="20"/>
    <n v="3"/>
    <n v="62"/>
  </r>
  <r>
    <n v="3404"/>
    <x v="170"/>
    <x v="2"/>
    <d v="2024-08-17T00:00:00"/>
    <x v="0"/>
    <n v="10"/>
    <x v="1"/>
    <x v="1"/>
    <x v="1"/>
    <x v="0"/>
    <n v="20"/>
    <n v="15"/>
    <n v="15"/>
  </r>
  <r>
    <n v="3405"/>
    <x v="171"/>
    <x v="1"/>
    <d v="2024-08-18T00:00:00"/>
    <x v="1"/>
    <n v="5"/>
    <x v="0"/>
    <x v="1"/>
    <x v="1"/>
    <x v="1"/>
    <n v="0"/>
    <n v="1"/>
    <n v="4"/>
  </r>
  <r>
    <n v="3406"/>
    <x v="172"/>
    <x v="1"/>
    <d v="2024-08-19T00:00:00"/>
    <x v="0"/>
    <n v="5"/>
    <x v="0"/>
    <x v="1"/>
    <x v="1"/>
    <x v="1"/>
    <n v="0"/>
    <n v="0"/>
    <n v="5"/>
  </r>
  <r>
    <n v="3407"/>
    <x v="173"/>
    <x v="0"/>
    <d v="2024-08-20T00:00:00"/>
    <x v="1"/>
    <n v="15"/>
    <x v="2"/>
    <x v="0"/>
    <x v="0"/>
    <x v="0"/>
    <n v="20"/>
    <n v="7"/>
    <n v="58"/>
  </r>
  <r>
    <n v="3408"/>
    <x v="174"/>
    <x v="2"/>
    <d v="2024-08-21T00:00:00"/>
    <x v="0"/>
    <n v="10"/>
    <x v="1"/>
    <x v="1"/>
    <x v="1"/>
    <x v="0"/>
    <n v="20"/>
    <n v="10"/>
    <n v="20"/>
  </r>
  <r>
    <n v="3409"/>
    <x v="175"/>
    <x v="1"/>
    <d v="2024-08-22T00:00:00"/>
    <x v="1"/>
    <n v="5"/>
    <x v="2"/>
    <x v="1"/>
    <x v="1"/>
    <x v="1"/>
    <n v="0"/>
    <n v="1"/>
    <n v="4"/>
  </r>
  <r>
    <n v="3410"/>
    <x v="176"/>
    <x v="0"/>
    <d v="2024-08-23T00:00:00"/>
    <x v="0"/>
    <n v="15"/>
    <x v="0"/>
    <x v="0"/>
    <x v="0"/>
    <x v="0"/>
    <n v="20"/>
    <n v="15"/>
    <n v="50"/>
  </r>
  <r>
    <n v="3411"/>
    <x v="177"/>
    <x v="2"/>
    <d v="2024-08-24T00:00:00"/>
    <x v="1"/>
    <n v="10"/>
    <x v="0"/>
    <x v="1"/>
    <x v="1"/>
    <x v="0"/>
    <n v="20"/>
    <n v="5"/>
    <n v="25"/>
  </r>
  <r>
    <n v="3412"/>
    <x v="178"/>
    <x v="1"/>
    <d v="2024-08-25T00:00:00"/>
    <x v="0"/>
    <n v="5"/>
    <x v="1"/>
    <x v="1"/>
    <x v="1"/>
    <x v="1"/>
    <n v="0"/>
    <n v="0"/>
    <n v="5"/>
  </r>
  <r>
    <n v="3413"/>
    <x v="179"/>
    <x v="0"/>
    <d v="2024-08-26T00:00:00"/>
    <x v="1"/>
    <n v="15"/>
    <x v="2"/>
    <x v="0"/>
    <x v="0"/>
    <x v="0"/>
    <n v="20"/>
    <n v="20"/>
    <n v="45"/>
  </r>
  <r>
    <n v="3414"/>
    <x v="180"/>
    <x v="2"/>
    <d v="2024-08-27T00:00:00"/>
    <x v="0"/>
    <n v="10"/>
    <x v="2"/>
    <x v="1"/>
    <x v="1"/>
    <x v="0"/>
    <n v="20"/>
    <n v="12"/>
    <n v="18"/>
  </r>
  <r>
    <n v="3415"/>
    <x v="181"/>
    <x v="1"/>
    <d v="2024-08-28T00:00:00"/>
    <x v="1"/>
    <n v="5"/>
    <x v="0"/>
    <x v="1"/>
    <x v="1"/>
    <x v="1"/>
    <n v="0"/>
    <n v="2"/>
    <n v="3"/>
  </r>
  <r>
    <n v="3416"/>
    <x v="182"/>
    <x v="0"/>
    <d v="2024-08-29T00:00:00"/>
    <x v="0"/>
    <n v="15"/>
    <x v="1"/>
    <x v="0"/>
    <x v="0"/>
    <x v="0"/>
    <n v="20"/>
    <n v="5"/>
    <n v="60"/>
  </r>
  <r>
    <n v="3417"/>
    <x v="183"/>
    <x v="2"/>
    <d v="2024-08-30T00:00:00"/>
    <x v="1"/>
    <n v="10"/>
    <x v="0"/>
    <x v="1"/>
    <x v="1"/>
    <x v="0"/>
    <n v="20"/>
    <n v="10"/>
    <n v="20"/>
  </r>
  <r>
    <n v="3418"/>
    <x v="184"/>
    <x v="1"/>
    <d v="2024-08-31T00:00:00"/>
    <x v="0"/>
    <n v="5"/>
    <x v="2"/>
    <x v="1"/>
    <x v="1"/>
    <x v="1"/>
    <n v="0"/>
    <n v="0"/>
    <n v="5"/>
  </r>
  <r>
    <n v="3419"/>
    <x v="185"/>
    <x v="0"/>
    <d v="2024-09-01T00:00:00"/>
    <x v="1"/>
    <n v="15"/>
    <x v="0"/>
    <x v="0"/>
    <x v="0"/>
    <x v="0"/>
    <n v="20"/>
    <n v="3"/>
    <n v="62"/>
  </r>
  <r>
    <n v="3420"/>
    <x v="186"/>
    <x v="2"/>
    <d v="2024-09-02T00:00:00"/>
    <x v="0"/>
    <n v="10"/>
    <x v="1"/>
    <x v="1"/>
    <x v="1"/>
    <x v="0"/>
    <n v="20"/>
    <n v="15"/>
    <n v="15"/>
  </r>
  <r>
    <n v="3421"/>
    <x v="15"/>
    <x v="1"/>
    <d v="2024-09-03T00:00:00"/>
    <x v="1"/>
    <n v="5"/>
    <x v="0"/>
    <x v="1"/>
    <x v="1"/>
    <x v="1"/>
    <n v="0"/>
    <n v="1"/>
    <n v="4"/>
  </r>
  <r>
    <n v="3422"/>
    <x v="187"/>
    <x v="0"/>
    <d v="2024-09-04T00:00:00"/>
    <x v="0"/>
    <n v="15"/>
    <x v="2"/>
    <x v="0"/>
    <x v="0"/>
    <x v="0"/>
    <n v="20"/>
    <n v="7"/>
    <n v="58"/>
  </r>
  <r>
    <n v="3423"/>
    <x v="188"/>
    <x v="2"/>
    <d v="2024-09-05T00:00:00"/>
    <x v="1"/>
    <n v="10"/>
    <x v="0"/>
    <x v="1"/>
    <x v="1"/>
    <x v="0"/>
    <n v="20"/>
    <n v="10"/>
    <n v="20"/>
  </r>
  <r>
    <n v="3424"/>
    <x v="14"/>
    <x v="1"/>
    <d v="2024-09-06T00:00:00"/>
    <x v="0"/>
    <n v="5"/>
    <x v="1"/>
    <x v="1"/>
    <x v="1"/>
    <x v="1"/>
    <n v="0"/>
    <n v="0"/>
    <n v="5"/>
  </r>
  <r>
    <n v="3425"/>
    <x v="189"/>
    <x v="0"/>
    <d v="2024-09-07T00:00:00"/>
    <x v="1"/>
    <n v="15"/>
    <x v="0"/>
    <x v="0"/>
    <x v="0"/>
    <x v="0"/>
    <n v="20"/>
    <n v="20"/>
    <n v="45"/>
  </r>
  <r>
    <n v="3426"/>
    <x v="167"/>
    <x v="2"/>
    <d v="2024-09-08T00:00:00"/>
    <x v="0"/>
    <n v="10"/>
    <x v="2"/>
    <x v="1"/>
    <x v="1"/>
    <x v="0"/>
    <n v="20"/>
    <n v="15"/>
    <n v="15"/>
  </r>
  <r>
    <n v="3427"/>
    <x v="190"/>
    <x v="1"/>
    <d v="2024-09-09T00:00:00"/>
    <x v="1"/>
    <n v="5"/>
    <x v="0"/>
    <x v="1"/>
    <x v="1"/>
    <x v="1"/>
    <n v="0"/>
    <n v="1"/>
    <n v="4"/>
  </r>
  <r>
    <n v="3428"/>
    <x v="191"/>
    <x v="0"/>
    <d v="2024-09-10T00:00:00"/>
    <x v="0"/>
    <n v="15"/>
    <x v="1"/>
    <x v="0"/>
    <x v="0"/>
    <x v="0"/>
    <n v="20"/>
    <n v="3"/>
    <n v="62"/>
  </r>
  <r>
    <n v="3429"/>
    <x v="192"/>
    <x v="2"/>
    <d v="2024-09-11T00:00:00"/>
    <x v="1"/>
    <n v="10"/>
    <x v="0"/>
    <x v="1"/>
    <x v="1"/>
    <x v="0"/>
    <n v="20"/>
    <n v="10"/>
    <n v="20"/>
  </r>
  <r>
    <n v="3430"/>
    <x v="193"/>
    <x v="1"/>
    <d v="2024-09-12T00:00:00"/>
    <x v="0"/>
    <n v="5"/>
    <x v="2"/>
    <x v="1"/>
    <x v="1"/>
    <x v="1"/>
    <n v="0"/>
    <n v="0"/>
    <n v="5"/>
  </r>
  <r>
    <n v="3431"/>
    <x v="194"/>
    <x v="0"/>
    <d v="2024-09-13T00:00:00"/>
    <x v="1"/>
    <n v="15"/>
    <x v="0"/>
    <x v="0"/>
    <x v="0"/>
    <x v="0"/>
    <n v="20"/>
    <n v="15"/>
    <n v="50"/>
  </r>
  <r>
    <n v="3432"/>
    <x v="195"/>
    <x v="2"/>
    <d v="2024-09-14T00:00:00"/>
    <x v="0"/>
    <n v="10"/>
    <x v="1"/>
    <x v="1"/>
    <x v="1"/>
    <x v="0"/>
    <n v="20"/>
    <n v="15"/>
    <n v="15"/>
  </r>
  <r>
    <n v="3433"/>
    <x v="196"/>
    <x v="1"/>
    <d v="2024-09-15T00:00:00"/>
    <x v="1"/>
    <n v="5"/>
    <x v="0"/>
    <x v="1"/>
    <x v="1"/>
    <x v="1"/>
    <n v="0"/>
    <n v="1"/>
    <n v="4"/>
  </r>
  <r>
    <n v="3434"/>
    <x v="197"/>
    <x v="0"/>
    <d v="2024-09-16T00:00:00"/>
    <x v="0"/>
    <n v="15"/>
    <x v="2"/>
    <x v="0"/>
    <x v="0"/>
    <x v="0"/>
    <n v="20"/>
    <n v="7"/>
    <n v="58"/>
  </r>
  <r>
    <n v="3435"/>
    <x v="198"/>
    <x v="2"/>
    <d v="2024-09-17T00:00:00"/>
    <x v="1"/>
    <n v="10"/>
    <x v="0"/>
    <x v="1"/>
    <x v="1"/>
    <x v="0"/>
    <n v="20"/>
    <n v="10"/>
    <n v="20"/>
  </r>
  <r>
    <n v="3436"/>
    <x v="199"/>
    <x v="1"/>
    <d v="2024-09-18T00:00:00"/>
    <x v="0"/>
    <n v="5"/>
    <x v="0"/>
    <x v="1"/>
    <x v="1"/>
    <x v="1"/>
    <n v="0"/>
    <n v="0"/>
    <n v="5"/>
  </r>
  <r>
    <n v="3437"/>
    <x v="200"/>
    <x v="0"/>
    <d v="2024-09-19T00:00:00"/>
    <x v="1"/>
    <n v="15"/>
    <x v="2"/>
    <x v="0"/>
    <x v="0"/>
    <x v="0"/>
    <n v="20"/>
    <n v="7"/>
    <n v="58"/>
  </r>
  <r>
    <n v="3438"/>
    <x v="201"/>
    <x v="2"/>
    <d v="2024-09-20T00:00:00"/>
    <x v="0"/>
    <n v="10"/>
    <x v="1"/>
    <x v="1"/>
    <x v="1"/>
    <x v="0"/>
    <n v="20"/>
    <n v="10"/>
    <n v="20"/>
  </r>
  <r>
    <n v="3439"/>
    <x v="202"/>
    <x v="1"/>
    <d v="2024-09-21T00:00:00"/>
    <x v="1"/>
    <n v="5"/>
    <x v="2"/>
    <x v="1"/>
    <x v="1"/>
    <x v="1"/>
    <n v="0"/>
    <n v="1"/>
    <n v="4"/>
  </r>
  <r>
    <n v="3440"/>
    <x v="203"/>
    <x v="0"/>
    <d v="2024-09-22T00:00:00"/>
    <x v="0"/>
    <n v="15"/>
    <x v="0"/>
    <x v="0"/>
    <x v="0"/>
    <x v="0"/>
    <n v="20"/>
    <n v="15"/>
    <n v="50"/>
  </r>
  <r>
    <n v="3441"/>
    <x v="204"/>
    <x v="2"/>
    <d v="2024-09-23T00:00:00"/>
    <x v="1"/>
    <n v="10"/>
    <x v="0"/>
    <x v="1"/>
    <x v="1"/>
    <x v="0"/>
    <n v="20"/>
    <n v="5"/>
    <n v="25"/>
  </r>
  <r>
    <n v="3442"/>
    <x v="205"/>
    <x v="1"/>
    <d v="2024-09-24T00:00:00"/>
    <x v="0"/>
    <n v="5"/>
    <x v="1"/>
    <x v="1"/>
    <x v="1"/>
    <x v="1"/>
    <n v="0"/>
    <n v="0"/>
    <n v="5"/>
  </r>
  <r>
    <n v="3443"/>
    <x v="206"/>
    <x v="0"/>
    <d v="2024-09-25T00:00:00"/>
    <x v="1"/>
    <n v="15"/>
    <x v="2"/>
    <x v="0"/>
    <x v="0"/>
    <x v="0"/>
    <n v="20"/>
    <n v="20"/>
    <n v="45"/>
  </r>
  <r>
    <n v="3444"/>
    <x v="207"/>
    <x v="2"/>
    <d v="2024-09-26T00:00:00"/>
    <x v="0"/>
    <n v="10"/>
    <x v="2"/>
    <x v="1"/>
    <x v="1"/>
    <x v="0"/>
    <n v="20"/>
    <n v="12"/>
    <n v="18"/>
  </r>
  <r>
    <n v="3445"/>
    <x v="37"/>
    <x v="1"/>
    <d v="2024-09-27T00:00:00"/>
    <x v="1"/>
    <n v="5"/>
    <x v="0"/>
    <x v="1"/>
    <x v="1"/>
    <x v="1"/>
    <n v="0"/>
    <n v="2"/>
    <n v="3"/>
  </r>
  <r>
    <n v="3446"/>
    <x v="208"/>
    <x v="0"/>
    <d v="2024-09-28T00:00:00"/>
    <x v="0"/>
    <n v="15"/>
    <x v="1"/>
    <x v="0"/>
    <x v="0"/>
    <x v="0"/>
    <n v="20"/>
    <n v="5"/>
    <n v="60"/>
  </r>
  <r>
    <n v="3447"/>
    <x v="209"/>
    <x v="2"/>
    <d v="2024-09-29T00:00:00"/>
    <x v="1"/>
    <n v="10"/>
    <x v="0"/>
    <x v="1"/>
    <x v="1"/>
    <x v="0"/>
    <n v="20"/>
    <n v="10"/>
    <n v="20"/>
  </r>
  <r>
    <n v="3448"/>
    <x v="210"/>
    <x v="1"/>
    <d v="2024-09-30T00:00:00"/>
    <x v="0"/>
    <n v="5"/>
    <x v="2"/>
    <x v="1"/>
    <x v="1"/>
    <x v="1"/>
    <n v="0"/>
    <n v="0"/>
    <n v="5"/>
  </r>
  <r>
    <n v="3449"/>
    <x v="211"/>
    <x v="0"/>
    <d v="2024-10-01T00:00:00"/>
    <x v="1"/>
    <n v="15"/>
    <x v="0"/>
    <x v="0"/>
    <x v="0"/>
    <x v="0"/>
    <n v="20"/>
    <n v="3"/>
    <n v="62"/>
  </r>
  <r>
    <n v="3450"/>
    <x v="212"/>
    <x v="2"/>
    <d v="2024-10-02T00:00:00"/>
    <x v="0"/>
    <n v="10"/>
    <x v="1"/>
    <x v="1"/>
    <x v="1"/>
    <x v="0"/>
    <n v="20"/>
    <n v="15"/>
    <n v="15"/>
  </r>
  <r>
    <n v="3451"/>
    <x v="213"/>
    <x v="1"/>
    <d v="2024-10-03T00:00:00"/>
    <x v="1"/>
    <n v="5"/>
    <x v="0"/>
    <x v="1"/>
    <x v="1"/>
    <x v="1"/>
    <n v="0"/>
    <n v="1"/>
    <n v="4"/>
  </r>
  <r>
    <n v="3452"/>
    <x v="191"/>
    <x v="0"/>
    <d v="2024-10-04T00:00:00"/>
    <x v="0"/>
    <n v="15"/>
    <x v="2"/>
    <x v="0"/>
    <x v="0"/>
    <x v="0"/>
    <n v="20"/>
    <n v="7"/>
    <n v="58"/>
  </r>
  <r>
    <n v="3453"/>
    <x v="45"/>
    <x v="2"/>
    <d v="2024-10-05T00:00:00"/>
    <x v="1"/>
    <n v="10"/>
    <x v="0"/>
    <x v="1"/>
    <x v="1"/>
    <x v="0"/>
    <n v="20"/>
    <n v="10"/>
    <n v="20"/>
  </r>
  <r>
    <n v="3454"/>
    <x v="214"/>
    <x v="1"/>
    <d v="2024-10-06T00:00:00"/>
    <x v="0"/>
    <n v="5"/>
    <x v="1"/>
    <x v="1"/>
    <x v="1"/>
    <x v="1"/>
    <n v="0"/>
    <n v="0"/>
    <n v="5"/>
  </r>
  <r>
    <n v="3455"/>
    <x v="215"/>
    <x v="0"/>
    <d v="2024-10-07T00:00:00"/>
    <x v="1"/>
    <n v="15"/>
    <x v="0"/>
    <x v="0"/>
    <x v="0"/>
    <x v="0"/>
    <n v="20"/>
    <n v="20"/>
    <n v="45"/>
  </r>
  <r>
    <n v="3456"/>
    <x v="216"/>
    <x v="2"/>
    <d v="2024-10-08T00:00:00"/>
    <x v="0"/>
    <n v="10"/>
    <x v="2"/>
    <x v="1"/>
    <x v="1"/>
    <x v="0"/>
    <n v="20"/>
    <n v="15"/>
    <n v="15"/>
  </r>
  <r>
    <n v="3457"/>
    <x v="217"/>
    <x v="1"/>
    <d v="2024-10-09T00:00:00"/>
    <x v="1"/>
    <n v="5"/>
    <x v="0"/>
    <x v="1"/>
    <x v="1"/>
    <x v="1"/>
    <n v="0"/>
    <n v="1"/>
    <n v="4"/>
  </r>
  <r>
    <n v="3458"/>
    <x v="218"/>
    <x v="0"/>
    <d v="2024-10-10T00:00:00"/>
    <x v="0"/>
    <n v="15"/>
    <x v="1"/>
    <x v="0"/>
    <x v="0"/>
    <x v="0"/>
    <n v="20"/>
    <n v="3"/>
    <n v="62"/>
  </r>
  <r>
    <n v="3459"/>
    <x v="219"/>
    <x v="2"/>
    <d v="2024-10-11T00:00:00"/>
    <x v="1"/>
    <n v="10"/>
    <x v="0"/>
    <x v="1"/>
    <x v="1"/>
    <x v="0"/>
    <n v="20"/>
    <n v="10"/>
    <n v="20"/>
  </r>
  <r>
    <n v="3460"/>
    <x v="127"/>
    <x v="1"/>
    <d v="2024-10-12T00:00:00"/>
    <x v="0"/>
    <n v="5"/>
    <x v="2"/>
    <x v="1"/>
    <x v="1"/>
    <x v="1"/>
    <n v="0"/>
    <n v="0"/>
    <n v="5"/>
  </r>
  <r>
    <n v="3461"/>
    <x v="220"/>
    <x v="0"/>
    <d v="2024-10-13T00:00:00"/>
    <x v="1"/>
    <n v="15"/>
    <x v="0"/>
    <x v="0"/>
    <x v="0"/>
    <x v="0"/>
    <n v="20"/>
    <n v="15"/>
    <n v="50"/>
  </r>
  <r>
    <n v="3462"/>
    <x v="221"/>
    <x v="2"/>
    <d v="2024-10-14T00:00:00"/>
    <x v="0"/>
    <n v="10"/>
    <x v="1"/>
    <x v="1"/>
    <x v="1"/>
    <x v="0"/>
    <n v="20"/>
    <n v="15"/>
    <n v="15"/>
  </r>
  <r>
    <n v="3463"/>
    <x v="222"/>
    <x v="1"/>
    <d v="2024-10-15T00:00:00"/>
    <x v="1"/>
    <n v="5"/>
    <x v="0"/>
    <x v="1"/>
    <x v="1"/>
    <x v="1"/>
    <n v="0"/>
    <n v="1"/>
    <n v="4"/>
  </r>
  <r>
    <n v="3464"/>
    <x v="223"/>
    <x v="0"/>
    <d v="2024-10-16T00:00:00"/>
    <x v="0"/>
    <n v="15"/>
    <x v="2"/>
    <x v="0"/>
    <x v="0"/>
    <x v="0"/>
    <n v="20"/>
    <n v="7"/>
    <n v="58"/>
  </r>
  <r>
    <n v="3465"/>
    <x v="224"/>
    <x v="2"/>
    <d v="2024-10-17T00:00:00"/>
    <x v="1"/>
    <n v="10"/>
    <x v="0"/>
    <x v="1"/>
    <x v="1"/>
    <x v="0"/>
    <n v="20"/>
    <n v="10"/>
    <n v="20"/>
  </r>
  <r>
    <n v="3466"/>
    <x v="225"/>
    <x v="1"/>
    <d v="2024-10-18T00:00:00"/>
    <x v="0"/>
    <n v="5"/>
    <x v="1"/>
    <x v="1"/>
    <x v="1"/>
    <x v="1"/>
    <n v="0"/>
    <n v="0"/>
    <n v="5"/>
  </r>
  <r>
    <n v="3467"/>
    <x v="226"/>
    <x v="0"/>
    <d v="2024-10-19T00:00:00"/>
    <x v="1"/>
    <n v="15"/>
    <x v="0"/>
    <x v="0"/>
    <x v="0"/>
    <x v="0"/>
    <n v="20"/>
    <n v="15"/>
    <n v="50"/>
  </r>
  <r>
    <n v="3468"/>
    <x v="227"/>
    <x v="2"/>
    <d v="2024-10-20T00:00:00"/>
    <x v="0"/>
    <n v="10"/>
    <x v="2"/>
    <x v="1"/>
    <x v="1"/>
    <x v="0"/>
    <n v="20"/>
    <n v="12"/>
    <n v="18"/>
  </r>
  <r>
    <n v="3469"/>
    <x v="228"/>
    <x v="1"/>
    <d v="2024-10-21T00:00:00"/>
    <x v="1"/>
    <n v="5"/>
    <x v="0"/>
    <x v="1"/>
    <x v="1"/>
    <x v="1"/>
    <n v="0"/>
    <n v="2"/>
    <n v="3"/>
  </r>
  <r>
    <n v="3470"/>
    <x v="229"/>
    <x v="0"/>
    <d v="2024-10-22T00:00:00"/>
    <x v="0"/>
    <n v="15"/>
    <x v="1"/>
    <x v="0"/>
    <x v="0"/>
    <x v="0"/>
    <n v="20"/>
    <n v="5"/>
    <n v="60"/>
  </r>
  <r>
    <n v="3471"/>
    <x v="230"/>
    <x v="2"/>
    <d v="2024-10-23T00:00:00"/>
    <x v="1"/>
    <n v="10"/>
    <x v="0"/>
    <x v="1"/>
    <x v="1"/>
    <x v="0"/>
    <n v="20"/>
    <n v="10"/>
    <n v="20"/>
  </r>
  <r>
    <n v="3472"/>
    <x v="231"/>
    <x v="1"/>
    <d v="2024-10-24T00:00:00"/>
    <x v="0"/>
    <n v="5"/>
    <x v="2"/>
    <x v="1"/>
    <x v="1"/>
    <x v="1"/>
    <n v="0"/>
    <n v="0"/>
    <n v="5"/>
  </r>
  <r>
    <n v="3473"/>
    <x v="140"/>
    <x v="0"/>
    <d v="2024-10-25T00:00:00"/>
    <x v="1"/>
    <n v="15"/>
    <x v="0"/>
    <x v="0"/>
    <x v="0"/>
    <x v="0"/>
    <n v="20"/>
    <n v="3"/>
    <n v="62"/>
  </r>
  <r>
    <n v="3474"/>
    <x v="232"/>
    <x v="2"/>
    <d v="2024-10-26T00:00:00"/>
    <x v="0"/>
    <n v="10"/>
    <x v="1"/>
    <x v="1"/>
    <x v="1"/>
    <x v="0"/>
    <n v="20"/>
    <n v="15"/>
    <n v="15"/>
  </r>
  <r>
    <n v="3475"/>
    <x v="233"/>
    <x v="1"/>
    <d v="2024-10-27T00:00:00"/>
    <x v="1"/>
    <n v="5"/>
    <x v="0"/>
    <x v="1"/>
    <x v="1"/>
    <x v="1"/>
    <n v="0"/>
    <n v="1"/>
    <n v="4"/>
  </r>
  <r>
    <n v="3476"/>
    <x v="234"/>
    <x v="0"/>
    <d v="2024-10-28T00:00:00"/>
    <x v="0"/>
    <n v="15"/>
    <x v="2"/>
    <x v="0"/>
    <x v="0"/>
    <x v="0"/>
    <n v="20"/>
    <n v="7"/>
    <n v="58"/>
  </r>
  <r>
    <n v="3477"/>
    <x v="235"/>
    <x v="2"/>
    <d v="2024-10-29T00:00:00"/>
    <x v="1"/>
    <n v="10"/>
    <x v="0"/>
    <x v="1"/>
    <x v="1"/>
    <x v="0"/>
    <n v="20"/>
    <n v="10"/>
    <n v="20"/>
  </r>
  <r>
    <n v="3478"/>
    <x v="236"/>
    <x v="1"/>
    <d v="2024-10-30T00:00:00"/>
    <x v="0"/>
    <n v="5"/>
    <x v="1"/>
    <x v="1"/>
    <x v="1"/>
    <x v="1"/>
    <n v="0"/>
    <n v="0"/>
    <n v="5"/>
  </r>
  <r>
    <n v="3479"/>
    <x v="237"/>
    <x v="0"/>
    <d v="2024-10-31T00:00:00"/>
    <x v="1"/>
    <n v="15"/>
    <x v="0"/>
    <x v="0"/>
    <x v="0"/>
    <x v="0"/>
    <n v="20"/>
    <n v="20"/>
    <n v="45"/>
  </r>
  <r>
    <n v="3480"/>
    <x v="238"/>
    <x v="2"/>
    <d v="2024-11-01T00:00:00"/>
    <x v="0"/>
    <n v="10"/>
    <x v="2"/>
    <x v="1"/>
    <x v="1"/>
    <x v="0"/>
    <n v="20"/>
    <n v="15"/>
    <n v="15"/>
  </r>
  <r>
    <n v="3481"/>
    <x v="239"/>
    <x v="1"/>
    <d v="2024-11-02T00:00:00"/>
    <x v="1"/>
    <n v="5"/>
    <x v="0"/>
    <x v="1"/>
    <x v="1"/>
    <x v="1"/>
    <n v="0"/>
    <n v="1"/>
    <n v="4"/>
  </r>
  <r>
    <n v="3482"/>
    <x v="240"/>
    <x v="0"/>
    <d v="2024-11-03T00:00:00"/>
    <x v="0"/>
    <n v="15"/>
    <x v="1"/>
    <x v="0"/>
    <x v="0"/>
    <x v="0"/>
    <n v="20"/>
    <n v="3"/>
    <n v="62"/>
  </r>
  <r>
    <n v="3483"/>
    <x v="241"/>
    <x v="2"/>
    <d v="2024-11-04T00:00:00"/>
    <x v="1"/>
    <n v="10"/>
    <x v="0"/>
    <x v="1"/>
    <x v="1"/>
    <x v="0"/>
    <n v="20"/>
    <n v="10"/>
    <n v="20"/>
  </r>
  <r>
    <n v="3484"/>
    <x v="242"/>
    <x v="1"/>
    <d v="2024-11-05T00:00:00"/>
    <x v="0"/>
    <n v="5"/>
    <x v="2"/>
    <x v="1"/>
    <x v="1"/>
    <x v="1"/>
    <n v="0"/>
    <n v="0"/>
    <n v="5"/>
  </r>
  <r>
    <n v="3485"/>
    <x v="243"/>
    <x v="0"/>
    <d v="2024-11-06T00:00:00"/>
    <x v="1"/>
    <n v="15"/>
    <x v="0"/>
    <x v="0"/>
    <x v="0"/>
    <x v="0"/>
    <n v="20"/>
    <n v="15"/>
    <n v="50"/>
  </r>
  <r>
    <n v="3486"/>
    <x v="244"/>
    <x v="1"/>
    <d v="2024-11-07T00:00:00"/>
    <x v="0"/>
    <n v="5"/>
    <x v="0"/>
    <x v="1"/>
    <x v="1"/>
    <x v="1"/>
    <n v="0"/>
    <n v="0"/>
    <n v="5"/>
  </r>
  <r>
    <n v="3487"/>
    <x v="245"/>
    <x v="0"/>
    <d v="2024-11-08T00:00:00"/>
    <x v="1"/>
    <n v="15"/>
    <x v="2"/>
    <x v="0"/>
    <x v="0"/>
    <x v="0"/>
    <n v="20"/>
    <n v="7"/>
    <n v="58"/>
  </r>
  <r>
    <n v="3488"/>
    <x v="246"/>
    <x v="2"/>
    <d v="2024-11-09T00:00:00"/>
    <x v="0"/>
    <n v="10"/>
    <x v="1"/>
    <x v="1"/>
    <x v="1"/>
    <x v="0"/>
    <n v="20"/>
    <n v="10"/>
    <n v="20"/>
  </r>
  <r>
    <n v="3489"/>
    <x v="247"/>
    <x v="1"/>
    <d v="2024-11-10T00:00:00"/>
    <x v="1"/>
    <n v="5"/>
    <x v="2"/>
    <x v="1"/>
    <x v="1"/>
    <x v="1"/>
    <n v="0"/>
    <n v="1"/>
    <n v="4"/>
  </r>
  <r>
    <n v="3490"/>
    <x v="248"/>
    <x v="0"/>
    <d v="2024-11-11T00:00:00"/>
    <x v="0"/>
    <n v="15"/>
    <x v="0"/>
    <x v="0"/>
    <x v="0"/>
    <x v="0"/>
    <n v="20"/>
    <n v="15"/>
    <n v="50"/>
  </r>
  <r>
    <n v="3491"/>
    <x v="249"/>
    <x v="2"/>
    <d v="2024-11-12T00:00:00"/>
    <x v="1"/>
    <n v="10"/>
    <x v="0"/>
    <x v="1"/>
    <x v="1"/>
    <x v="0"/>
    <n v="20"/>
    <n v="5"/>
    <n v="25"/>
  </r>
  <r>
    <n v="3492"/>
    <x v="250"/>
    <x v="1"/>
    <d v="2024-11-13T00:00:00"/>
    <x v="0"/>
    <n v="5"/>
    <x v="1"/>
    <x v="1"/>
    <x v="1"/>
    <x v="1"/>
    <n v="0"/>
    <n v="0"/>
    <n v="5"/>
  </r>
  <r>
    <n v="3493"/>
    <x v="251"/>
    <x v="0"/>
    <d v="2024-11-14T00:00:00"/>
    <x v="1"/>
    <n v="15"/>
    <x v="2"/>
    <x v="0"/>
    <x v="0"/>
    <x v="0"/>
    <n v="20"/>
    <n v="20"/>
    <n v="45"/>
  </r>
  <r>
    <n v="3494"/>
    <x v="252"/>
    <x v="2"/>
    <d v="2024-11-15T00:00:00"/>
    <x v="0"/>
    <n v="10"/>
    <x v="2"/>
    <x v="1"/>
    <x v="1"/>
    <x v="0"/>
    <n v="20"/>
    <n v="12"/>
    <n v="18"/>
  </r>
  <r>
    <n v="3495"/>
    <x v="253"/>
    <x v="1"/>
    <d v="2024-11-16T00:00:00"/>
    <x v="1"/>
    <n v="5"/>
    <x v="0"/>
    <x v="1"/>
    <x v="1"/>
    <x v="1"/>
    <n v="0"/>
    <n v="2"/>
    <n v="3"/>
  </r>
  <r>
    <n v="3496"/>
    <x v="254"/>
    <x v="0"/>
    <d v="2024-11-17T00:00:00"/>
    <x v="0"/>
    <n v="15"/>
    <x v="1"/>
    <x v="0"/>
    <x v="0"/>
    <x v="0"/>
    <n v="20"/>
    <n v="5"/>
    <n v="60"/>
  </r>
  <r>
    <n v="3497"/>
    <x v="255"/>
    <x v="2"/>
    <d v="2024-11-18T00:00:00"/>
    <x v="1"/>
    <n v="10"/>
    <x v="0"/>
    <x v="1"/>
    <x v="1"/>
    <x v="0"/>
    <n v="20"/>
    <n v="10"/>
    <n v="20"/>
  </r>
  <r>
    <n v="3498"/>
    <x v="256"/>
    <x v="1"/>
    <d v="2024-11-19T00:00:00"/>
    <x v="0"/>
    <n v="5"/>
    <x v="2"/>
    <x v="1"/>
    <x v="1"/>
    <x v="1"/>
    <n v="0"/>
    <n v="0"/>
    <n v="5"/>
  </r>
  <r>
    <n v="3499"/>
    <x v="257"/>
    <x v="0"/>
    <d v="2024-11-20T00:00:00"/>
    <x v="1"/>
    <n v="15"/>
    <x v="0"/>
    <x v="0"/>
    <x v="0"/>
    <x v="0"/>
    <n v="20"/>
    <n v="3"/>
    <n v="62"/>
  </r>
  <r>
    <n v="3500"/>
    <x v="258"/>
    <x v="2"/>
    <d v="2024-11-21T00:00:00"/>
    <x v="0"/>
    <n v="10"/>
    <x v="1"/>
    <x v="1"/>
    <x v="1"/>
    <x v="0"/>
    <n v="20"/>
    <n v="15"/>
    <n v="15"/>
  </r>
  <r>
    <n v="3501"/>
    <x v="259"/>
    <x v="1"/>
    <d v="2024-11-22T00:00:00"/>
    <x v="1"/>
    <n v="5"/>
    <x v="0"/>
    <x v="1"/>
    <x v="1"/>
    <x v="1"/>
    <n v="0"/>
    <n v="1"/>
    <n v="4"/>
  </r>
  <r>
    <n v="3502"/>
    <x v="260"/>
    <x v="0"/>
    <d v="2024-11-23T00:00:00"/>
    <x v="0"/>
    <n v="15"/>
    <x v="2"/>
    <x v="0"/>
    <x v="0"/>
    <x v="0"/>
    <n v="20"/>
    <n v="7"/>
    <n v="58"/>
  </r>
  <r>
    <n v="3503"/>
    <x v="119"/>
    <x v="2"/>
    <d v="2024-11-24T00:00:00"/>
    <x v="1"/>
    <n v="10"/>
    <x v="0"/>
    <x v="1"/>
    <x v="1"/>
    <x v="0"/>
    <n v="20"/>
    <n v="10"/>
    <n v="20"/>
  </r>
  <r>
    <n v="3504"/>
    <x v="261"/>
    <x v="1"/>
    <d v="2024-11-25T00:00:00"/>
    <x v="0"/>
    <n v="5"/>
    <x v="1"/>
    <x v="1"/>
    <x v="1"/>
    <x v="1"/>
    <n v="0"/>
    <n v="0"/>
    <n v="5"/>
  </r>
  <r>
    <n v="3505"/>
    <x v="262"/>
    <x v="0"/>
    <d v="2024-11-26T00:00:00"/>
    <x v="1"/>
    <n v="15"/>
    <x v="0"/>
    <x v="0"/>
    <x v="0"/>
    <x v="0"/>
    <n v="20"/>
    <n v="20"/>
    <n v="45"/>
  </r>
  <r>
    <n v="3506"/>
    <x v="263"/>
    <x v="2"/>
    <d v="2024-11-27T00:00:00"/>
    <x v="0"/>
    <n v="10"/>
    <x v="2"/>
    <x v="1"/>
    <x v="1"/>
    <x v="0"/>
    <n v="20"/>
    <n v="15"/>
    <n v="15"/>
  </r>
  <r>
    <n v="3507"/>
    <x v="264"/>
    <x v="1"/>
    <d v="2024-11-28T00:00:00"/>
    <x v="1"/>
    <n v="5"/>
    <x v="0"/>
    <x v="1"/>
    <x v="1"/>
    <x v="1"/>
    <n v="0"/>
    <n v="1"/>
    <n v="4"/>
  </r>
  <r>
    <n v="3508"/>
    <x v="265"/>
    <x v="0"/>
    <d v="2024-11-29T00:00:00"/>
    <x v="0"/>
    <n v="15"/>
    <x v="1"/>
    <x v="0"/>
    <x v="0"/>
    <x v="0"/>
    <n v="20"/>
    <n v="3"/>
    <n v="62"/>
  </r>
  <r>
    <n v="3509"/>
    <x v="266"/>
    <x v="2"/>
    <d v="2024-11-30T00:00:00"/>
    <x v="1"/>
    <n v="10"/>
    <x v="0"/>
    <x v="1"/>
    <x v="1"/>
    <x v="0"/>
    <n v="20"/>
    <n v="10"/>
    <n v="20"/>
  </r>
  <r>
    <n v="3510"/>
    <x v="267"/>
    <x v="1"/>
    <d v="2024-12-01T00:00:00"/>
    <x v="0"/>
    <n v="5"/>
    <x v="2"/>
    <x v="1"/>
    <x v="1"/>
    <x v="1"/>
    <n v="0"/>
    <n v="0"/>
    <n v="5"/>
  </r>
  <r>
    <n v="3511"/>
    <x v="268"/>
    <x v="0"/>
    <d v="2024-12-02T00:00:00"/>
    <x v="1"/>
    <n v="15"/>
    <x v="0"/>
    <x v="0"/>
    <x v="0"/>
    <x v="0"/>
    <n v="20"/>
    <n v="15"/>
    <n v="50"/>
  </r>
  <r>
    <n v="3512"/>
    <x v="269"/>
    <x v="2"/>
    <d v="2024-12-03T00:00:00"/>
    <x v="0"/>
    <n v="10"/>
    <x v="1"/>
    <x v="1"/>
    <x v="1"/>
    <x v="0"/>
    <n v="20"/>
    <n v="15"/>
    <n v="15"/>
  </r>
  <r>
    <n v="3513"/>
    <x v="270"/>
    <x v="1"/>
    <d v="2024-12-04T00:00:00"/>
    <x v="1"/>
    <n v="5"/>
    <x v="0"/>
    <x v="1"/>
    <x v="1"/>
    <x v="1"/>
    <n v="0"/>
    <n v="1"/>
    <n v="4"/>
  </r>
  <r>
    <n v="3514"/>
    <x v="271"/>
    <x v="0"/>
    <d v="2024-12-05T00:00:00"/>
    <x v="0"/>
    <n v="15"/>
    <x v="2"/>
    <x v="0"/>
    <x v="0"/>
    <x v="0"/>
    <n v="20"/>
    <n v="7"/>
    <n v="58"/>
  </r>
  <r>
    <n v="3515"/>
    <x v="130"/>
    <x v="2"/>
    <d v="2024-12-06T00:00:00"/>
    <x v="1"/>
    <n v="10"/>
    <x v="0"/>
    <x v="1"/>
    <x v="1"/>
    <x v="0"/>
    <n v="20"/>
    <n v="10"/>
    <n v="20"/>
  </r>
  <r>
    <n v="3516"/>
    <x v="131"/>
    <x v="1"/>
    <d v="2024-12-07T00:00:00"/>
    <x v="0"/>
    <n v="5"/>
    <x v="1"/>
    <x v="1"/>
    <x v="1"/>
    <x v="1"/>
    <n v="0"/>
    <n v="0"/>
    <n v="5"/>
  </r>
  <r>
    <n v="3517"/>
    <x v="181"/>
    <x v="0"/>
    <d v="2024-12-08T00:00:00"/>
    <x v="1"/>
    <n v="15"/>
    <x v="0"/>
    <x v="0"/>
    <x v="0"/>
    <x v="0"/>
    <n v="20"/>
    <n v="20"/>
    <n v="45"/>
  </r>
  <r>
    <n v="3518"/>
    <x v="272"/>
    <x v="2"/>
    <d v="2024-12-09T00:00:00"/>
    <x v="0"/>
    <n v="10"/>
    <x v="2"/>
    <x v="1"/>
    <x v="1"/>
    <x v="0"/>
    <n v="20"/>
    <n v="12"/>
    <n v="18"/>
  </r>
  <r>
    <n v="3519"/>
    <x v="273"/>
    <x v="1"/>
    <d v="2024-12-10T00:00:00"/>
    <x v="1"/>
    <n v="5"/>
    <x v="0"/>
    <x v="1"/>
    <x v="1"/>
    <x v="1"/>
    <n v="0"/>
    <n v="2"/>
    <n v="3"/>
  </r>
  <r>
    <n v="3520"/>
    <x v="274"/>
    <x v="0"/>
    <d v="2024-12-11T00:00:00"/>
    <x v="0"/>
    <n v="15"/>
    <x v="1"/>
    <x v="0"/>
    <x v="0"/>
    <x v="0"/>
    <n v="20"/>
    <n v="5"/>
    <n v="60"/>
  </r>
  <r>
    <n v="3521"/>
    <x v="275"/>
    <x v="2"/>
    <d v="2024-12-12T00:00:00"/>
    <x v="1"/>
    <n v="10"/>
    <x v="0"/>
    <x v="1"/>
    <x v="1"/>
    <x v="0"/>
    <n v="20"/>
    <n v="10"/>
    <n v="20"/>
  </r>
  <r>
    <n v="3522"/>
    <x v="276"/>
    <x v="1"/>
    <d v="2024-12-13T00:00:00"/>
    <x v="0"/>
    <n v="5"/>
    <x v="2"/>
    <x v="1"/>
    <x v="1"/>
    <x v="1"/>
    <n v="0"/>
    <n v="0"/>
    <n v="5"/>
  </r>
  <r>
    <n v="3523"/>
    <x v="277"/>
    <x v="0"/>
    <d v="2024-12-14T00:00:00"/>
    <x v="1"/>
    <n v="15"/>
    <x v="0"/>
    <x v="0"/>
    <x v="0"/>
    <x v="0"/>
    <n v="20"/>
    <n v="3"/>
    <n v="62"/>
  </r>
  <r>
    <n v="3524"/>
    <x v="278"/>
    <x v="2"/>
    <d v="2024-12-15T00:00:00"/>
    <x v="0"/>
    <n v="10"/>
    <x v="1"/>
    <x v="1"/>
    <x v="1"/>
    <x v="0"/>
    <n v="20"/>
    <n v="15"/>
    <n v="15"/>
  </r>
  <r>
    <n v="3525"/>
    <x v="279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7AFA8-05C8-405B-9200-4104A5C55455}" name="Tabela dinâmica5" cacheId="15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18:F21" firstHeaderRow="1" firstDataRow="1" firstDataCol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numFmtId="164" outline="0" showAll="0"/>
    <pivotField compact="0" numFmtId="164" outline="0" showAll="0"/>
    <pivotField dataField="1" compact="0" numFmtId="164" outline="0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406ECF-452A-47FD-8B88-72AAF8A1DF42}" name="Tabela dinâmica4" cacheId="15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10:F13" firstHeaderRow="1" firstDataRow="1" firstDataCol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16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EAFDF-0737-4592-82CA-D80439350135}" name="Tabela dinâmica3" cacheId="15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3:G7" firstHeaderRow="1" firstDataRow="1" firstDataCol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dataField="1" compact="0" numFmtId="16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ubscription Price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D96D7-F55A-498E-9485-42B2F256C5F8}" name="Tabela dinâmica2" cacheId="15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0">
  <location ref="B12:C15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16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1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88FD7-C7BF-42B8-AA3B-EB02971FECE6}" name="Tabela dinâmica1" cacheId="158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3:C7" firstHeaderRow="1" firstDataRow="1" firstDataCol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4C9D52E-C797-4302-B126-51F48DAA116D}" sourceName="Subscription Type">
  <pivotTables>
    <pivotTable tabId="3" name="Tabela dinâmica2"/>
  </pivotTables>
  <data>
    <tabular pivotCacheId="1537775456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D15B13C-3A23-4B60-A437-1FB6384E33D7}" cache="SegmentaçãodeDados_Subscription_Type" caption="Subscription Type" startItem="1" showCaption="0" style="SlicerStyleDark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1" zoomScaleNormal="100" workbookViewId="0">
      <selection activeCell="D30" sqref="D30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2" sqref="A2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H23"/>
  <sheetViews>
    <sheetView showGridLines="0" workbookViewId="0">
      <selection activeCell="D15" sqref="D15"/>
    </sheetView>
  </sheetViews>
  <sheetFormatPr defaultRowHeight="15"/>
  <cols>
    <col min="2" max="2" width="16.5703125" bestFit="1" customWidth="1"/>
    <col min="3" max="4" width="19.28515625" bestFit="1" customWidth="1"/>
    <col min="5" max="5" width="24.7109375" customWidth="1"/>
    <col min="6" max="6" width="19.28515625" bestFit="1" customWidth="1"/>
    <col min="7" max="7" width="26" bestFit="1" customWidth="1"/>
    <col min="8" max="8" width="11.8554687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8">
      <c r="B3" s="12" t="s">
        <v>13</v>
      </c>
      <c r="C3" t="s">
        <v>313</v>
      </c>
      <c r="F3" s="12" t="s">
        <v>17</v>
      </c>
      <c r="G3" t="s">
        <v>314</v>
      </c>
    </row>
    <row r="4" spans="2:8">
      <c r="B4" t="s">
        <v>29</v>
      </c>
      <c r="C4" s="13">
        <v>444</v>
      </c>
      <c r="F4" t="s">
        <v>31</v>
      </c>
      <c r="G4" s="13">
        <v>690</v>
      </c>
    </row>
    <row r="5" spans="2:8">
      <c r="B5" t="s">
        <v>34</v>
      </c>
      <c r="C5" s="13">
        <v>1801</v>
      </c>
      <c r="F5" t="s">
        <v>27</v>
      </c>
      <c r="G5" s="13">
        <v>1370</v>
      </c>
    </row>
    <row r="6" spans="2:8">
      <c r="B6" t="s">
        <v>25</v>
      </c>
      <c r="C6" s="13">
        <v>5388</v>
      </c>
      <c r="F6" t="s">
        <v>35</v>
      </c>
      <c r="G6" s="13">
        <v>875</v>
      </c>
    </row>
    <row r="7" spans="2:8">
      <c r="B7" t="s">
        <v>315</v>
      </c>
      <c r="C7" s="13">
        <v>7633</v>
      </c>
      <c r="D7" s="13">
        <f xml:space="preserve"> C7</f>
        <v>7633</v>
      </c>
      <c r="F7" t="s">
        <v>315</v>
      </c>
      <c r="G7" s="13">
        <v>2935</v>
      </c>
    </row>
    <row r="10" spans="2:8">
      <c r="B10" s="12" t="s">
        <v>17</v>
      </c>
      <c r="C10" t="s">
        <v>31</v>
      </c>
      <c r="E10" s="12" t="s">
        <v>18</v>
      </c>
      <c r="F10" t="s">
        <v>313</v>
      </c>
    </row>
    <row r="11" spans="2:8">
      <c r="E11" t="s">
        <v>30</v>
      </c>
      <c r="F11" s="13">
        <v>2245</v>
      </c>
    </row>
    <row r="12" spans="2:8">
      <c r="B12" s="12" t="s">
        <v>15</v>
      </c>
      <c r="C12" t="s">
        <v>313</v>
      </c>
      <c r="E12" t="s">
        <v>26</v>
      </c>
      <c r="F12" s="13">
        <v>5388</v>
      </c>
      <c r="H12" s="13">
        <f>F12</f>
        <v>5388</v>
      </c>
    </row>
    <row r="13" spans="2:8">
      <c r="B13" t="s">
        <v>30</v>
      </c>
      <c r="C13" s="13">
        <v>217</v>
      </c>
      <c r="E13" t="s">
        <v>315</v>
      </c>
      <c r="F13" s="13">
        <v>7633</v>
      </c>
    </row>
    <row r="14" spans="2:8">
      <c r="B14" t="s">
        <v>26</v>
      </c>
      <c r="C14" s="13">
        <v>1537</v>
      </c>
    </row>
    <row r="15" spans="2:8">
      <c r="B15" t="s">
        <v>315</v>
      </c>
      <c r="C15" s="13">
        <v>1754</v>
      </c>
      <c r="E15" t="s">
        <v>17</v>
      </c>
      <c r="F15" t="s">
        <v>31</v>
      </c>
    </row>
    <row r="18" spans="5:8">
      <c r="E18" s="12" t="s">
        <v>20</v>
      </c>
      <c r="F18" t="s">
        <v>313</v>
      </c>
    </row>
    <row r="19" spans="5:8">
      <c r="E19" t="s">
        <v>30</v>
      </c>
      <c r="F19" s="13">
        <v>444</v>
      </c>
    </row>
    <row r="20" spans="5:8">
      <c r="E20" t="s">
        <v>26</v>
      </c>
      <c r="F20" s="13">
        <v>7189</v>
      </c>
      <c r="H20" s="13">
        <f>F20</f>
        <v>7189</v>
      </c>
    </row>
    <row r="21" spans="5:8">
      <c r="E21" t="s">
        <v>315</v>
      </c>
      <c r="F21" s="13">
        <v>7633</v>
      </c>
    </row>
    <row r="23" spans="5:8">
      <c r="E23" t="s">
        <v>17</v>
      </c>
      <c r="F23" t="s">
        <v>31</v>
      </c>
    </row>
  </sheetData>
  <pageMargins left="0.511811024" right="0.511811024" top="0.78740157499999996" bottom="0.78740157499999996" header="0.31496062000000002" footer="0.31496062000000002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280"/>
  <sheetViews>
    <sheetView showGridLines="0" tabSelected="1" zoomScale="80" zoomScaleNormal="80" workbookViewId="0">
      <selection activeCell="J13" sqref="J13"/>
    </sheetView>
  </sheetViews>
  <sheetFormatPr defaultRowHeight="15"/>
  <cols>
    <col min="1" max="1" width="11" customWidth="1"/>
    <col min="2" max="2" width="6.28515625" customWidth="1"/>
    <col min="4" max="4" width="12.85546875" bestFit="1" customWidth="1"/>
    <col min="5" max="5" width="18.28515625" bestFit="1" customWidth="1"/>
    <col min="6" max="6" width="4.42578125" customWidth="1"/>
    <col min="11" max="11" width="20.28515625" customWidth="1"/>
    <col min="12" max="12" width="2.85546875" customWidth="1"/>
  </cols>
  <sheetData>
    <row r="1" spans="1:23">
      <c r="A1" s="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4"/>
      <c r="S1" s="4"/>
      <c r="T1" s="4"/>
      <c r="U1" s="4"/>
      <c r="V1" s="4"/>
      <c r="W1" s="4"/>
    </row>
    <row r="2" spans="1:23" ht="39" customHeight="1">
      <c r="A2" s="4"/>
      <c r="B2" s="14"/>
      <c r="C2" s="17" t="s">
        <v>316</v>
      </c>
      <c r="D2" s="17"/>
      <c r="E2" s="17"/>
      <c r="F2" s="17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4"/>
      <c r="S2" s="4"/>
      <c r="T2" s="4"/>
      <c r="U2" s="4"/>
      <c r="V2" s="4"/>
      <c r="W2" s="4"/>
    </row>
    <row r="3" spans="1:23" ht="8.25" customHeight="1">
      <c r="A3" s="4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8" customHeight="1">
      <c r="A4" s="4"/>
      <c r="B4" s="7"/>
      <c r="C4" s="18" t="s">
        <v>317</v>
      </c>
      <c r="D4" s="18"/>
      <c r="E4" s="18"/>
      <c r="F4" s="7"/>
      <c r="G4" s="20"/>
      <c r="H4" s="21"/>
      <c r="I4" s="18" t="s">
        <v>317</v>
      </c>
      <c r="J4" s="18"/>
      <c r="K4" s="18"/>
      <c r="L4" s="18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41.25" customHeight="1">
      <c r="A5" s="4"/>
      <c r="B5" s="7"/>
      <c r="C5" s="14"/>
      <c r="D5" s="14"/>
      <c r="E5" s="15">
        <f>C̳álculos!D7</f>
        <v>7633</v>
      </c>
      <c r="F5" s="7"/>
      <c r="G5" s="20"/>
      <c r="H5" s="7"/>
      <c r="I5" s="14"/>
      <c r="J5" s="14"/>
      <c r="K5" s="15">
        <f>C̳álculos!H12</f>
        <v>5388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9.75" customHeight="1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33" customHeight="1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ht="20.25">
      <c r="A8" s="4"/>
      <c r="B8" s="7"/>
      <c r="C8" s="7"/>
      <c r="D8" s="7"/>
      <c r="E8" s="7"/>
      <c r="F8" s="7"/>
      <c r="G8" s="7"/>
      <c r="H8" s="7"/>
      <c r="I8" s="18" t="s">
        <v>317</v>
      </c>
      <c r="J8" s="18"/>
      <c r="K8" s="18"/>
      <c r="L8" s="18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ht="33" customHeight="1">
      <c r="A9" s="4"/>
      <c r="B9" s="7"/>
      <c r="C9" s="19"/>
      <c r="D9" s="19"/>
      <c r="E9" s="19"/>
      <c r="F9" s="7"/>
      <c r="G9" s="7"/>
      <c r="H9" s="7"/>
      <c r="I9" s="14"/>
      <c r="J9" s="14"/>
      <c r="K9" s="15">
        <f>C̳álculos!H20</f>
        <v>7189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15" customHeight="1">
      <c r="A10" s="4"/>
      <c r="B10" s="7"/>
      <c r="C10" s="7"/>
      <c r="D10" s="7"/>
      <c r="E10" s="1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>
      <c r="A11" s="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>
      <c r="A35" s="4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>
      <c r="A36" s="4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>
      <c r="A37" s="4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>
      <c r="A38" s="4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>
      <c r="A39" s="4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>
      <c r="A40" s="4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>
      <c r="A41" s="4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>
      <c r="A42" s="4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>
      <c r="A44" s="4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>
      <c r="A45" s="4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>
      <c r="A46" s="4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>
      <c r="A47" s="4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>
      <c r="A48" s="4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>
      <c r="A49" s="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>
      <c r="A50" s="4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>
      <c r="A51" s="4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>
      <c r="A52" s="4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>
      <c r="A53" s="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>
      <c r="A54" s="4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>
      <c r="A55" s="4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>
      <c r="A56" s="4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>
      <c r="A57" s="4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>
      <c r="A58" s="4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>
      <c r="A59" s="4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>
      <c r="A60" s="4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>
      <c r="A61" s="4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>
      <c r="A62" s="4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>
      <c r="A63" s="4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>
      <c r="A64" s="4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>
      <c r="A65" s="4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>
      <c r="A66" s="4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>
      <c r="A67" s="4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>
      <c r="A68" s="4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>
      <c r="A69" s="4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>
      <c r="A70" s="4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>
      <c r="A71" s="4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>
      <c r="A72" s="4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>
      <c r="A73" s="4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>
      <c r="A74" s="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>
      <c r="A75" s="4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>
      <c r="A76" s="4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>
      <c r="A77" s="4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>
      <c r="A78" s="4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>
      <c r="A79" s="4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>
      <c r="A80" s="4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>
      <c r="A81" s="4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>
      <c r="A82" s="4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>
      <c r="A83" s="4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>
      <c r="A84" s="4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>
      <c r="A85" s="4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>
      <c r="A86" s="4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>
      <c r="A87" s="4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>
      <c r="A88" s="4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>
      <c r="A89" s="4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>
      <c r="A90" s="4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>
      <c r="A91" s="4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>
      <c r="A92" s="4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>
      <c r="A93" s="4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>
      <c r="A94" s="4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>
      <c r="A95" s="4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>
      <c r="A96" s="4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>
      <c r="A97" s="4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>
      <c r="A98" s="4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>
      <c r="A99" s="4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>
      <c r="A100" s="4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>
      <c r="A101" s="4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>
      <c r="A102" s="4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>
      <c r="A103" s="4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>
      <c r="A104" s="4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>
      <c r="A105" s="4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>
      <c r="A106" s="4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>
      <c r="A107" s="4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>
      <c r="A108" s="4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>
      <c r="A109" s="4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>
      <c r="A110" s="4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>
      <c r="A111" s="4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>
      <c r="A112" s="4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>
      <c r="A113" s="4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>
      <c r="A114" s="4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>
      <c r="A115" s="4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>
      <c r="A116" s="4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>
      <c r="A117" s="4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>
      <c r="A118" s="4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>
      <c r="A120" s="4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>
      <c r="A121" s="4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>
      <c r="A122" s="4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>
      <c r="A123" s="4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>
      <c r="A124" s="4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>
      <c r="A125" s="4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>
      <c r="A126" s="4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>
      <c r="A127" s="4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>
      <c r="A128" s="4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>
      <c r="A129" s="4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>
      <c r="A130" s="4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>
      <c r="A131" s="4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>
      <c r="A132" s="4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>
      <c r="A133" s="4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>
      <c r="A134" s="4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>
      <c r="A135" s="4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>
      <c r="A136" s="4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>
      <c r="A137" s="4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>
      <c r="A138" s="4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>
      <c r="A139" s="4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>
      <c r="A140" s="4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>
      <c r="A141" s="4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>
      <c r="A142" s="4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>
      <c r="A143" s="4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>
      <c r="A144" s="4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>
      <c r="A145" s="4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>
      <c r="A146" s="4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>
      <c r="A147" s="4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>
      <c r="A148" s="4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>
      <c r="A149" s="4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>
      <c r="A150" s="4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>
      <c r="A151" s="4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>
      <c r="A152" s="4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>
      <c r="A153" s="4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>
      <c r="A154" s="4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>
      <c r="A155" s="4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>
      <c r="A156" s="4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>
      <c r="A157" s="4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>
      <c r="A158" s="4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>
      <c r="A159" s="4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>
      <c r="A160" s="4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>
      <c r="A161" s="4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>
      <c r="A162" s="4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>
      <c r="A163" s="4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>
      <c r="A164" s="4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>
      <c r="A165" s="4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>
      <c r="A166" s="4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>
      <c r="A167" s="4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>
      <c r="A168" s="4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>
      <c r="A169" s="4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>
      <c r="A170" s="4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>
      <c r="A171" s="4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>
      <c r="A172" s="4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>
      <c r="A173" s="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>
      <c r="A174" s="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>
      <c r="A175" s="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>
      <c r="A176" s="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>
      <c r="A177" s="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>
      <c r="A178" s="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>
      <c r="A179" s="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>
      <c r="A180" s="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>
      <c r="A181" s="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>
      <c r="A182" s="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>
      <c r="A183" s="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>
      <c r="A184" s="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>
      <c r="A185" s="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>
      <c r="A186" s="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>
      <c r="A187" s="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>
      <c r="A188" s="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>
      <c r="A189" s="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>
      <c r="A190" s="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>
      <c r="A191" s="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>
      <c r="A192" s="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>
      <c r="A193" s="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>
      <c r="A194" s="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>
      <c r="A195" s="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>
      <c r="A196" s="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>
      <c r="A197" s="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>
      <c r="A198" s="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>
      <c r="A199" s="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>
      <c r="A200" s="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>
      <c r="A201" s="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>
      <c r="A202" s="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>
      <c r="A203" s="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>
      <c r="A204" s="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>
      <c r="A205" s="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>
      <c r="A206" s="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>
      <c r="A207" s="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>
      <c r="A208" s="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>
      <c r="A209" s="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>
      <c r="A210" s="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>
      <c r="A211" s="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>
      <c r="A212" s="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>
      <c r="A213" s="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>
      <c r="A214" s="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>
      <c r="A215" s="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>
      <c r="A216" s="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>
      <c r="A217" s="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>
      <c r="A218" s="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>
      <c r="A219" s="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>
      <c r="A220" s="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>
      <c r="A221" s="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>
      <c r="A222" s="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>
      <c r="A223" s="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>
      <c r="A224" s="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>
      <c r="A225" s="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>
      <c r="A226" s="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>
      <c r="A227" s="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>
      <c r="A228" s="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>
      <c r="A229" s="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>
      <c r="A230" s="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>
      <c r="A231" s="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>
      <c r="A232" s="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>
      <c r="A233" s="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>
      <c r="A234" s="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>
      <c r="A235" s="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>
      <c r="A236" s="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>
      <c r="A237" s="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>
      <c r="A238" s="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>
      <c r="A239" s="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>
      <c r="A240" s="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>
      <c r="A241" s="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>
      <c r="A242" s="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>
      <c r="A243" s="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>
      <c r="A244" s="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>
      <c r="A245" s="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>
      <c r="A246" s="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>
      <c r="A247" s="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>
      <c r="A248" s="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>
      <c r="A249" s="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>
      <c r="A250" s="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>
      <c r="A251" s="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>
      <c r="A252" s="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>
      <c r="A253" s="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>
      <c r="A254" s="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>
      <c r="A255" s="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>
      <c r="A256" s="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>
      <c r="A257" s="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>
      <c r="A258" s="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>
      <c r="A259" s="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>
      <c r="A260" s="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>
      <c r="A261" s="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>
      <c r="A262" s="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>
      <c r="A263" s="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>
      <c r="A264" s="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>
      <c r="A265" s="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>
      <c r="A266" s="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>
      <c r="A267" s="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>
      <c r="A268" s="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1:2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1:23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1:23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1:23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1:23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1:23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1:23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1:23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</sheetData>
  <mergeCells count="5">
    <mergeCell ref="C2:F2"/>
    <mergeCell ref="C4:E4"/>
    <mergeCell ref="C9:E9"/>
    <mergeCell ref="I4:L4"/>
    <mergeCell ref="I8:L8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/>
</file>

<file path=customXml/itemProps2.xml><?xml version="1.0" encoding="utf-8"?>
<ds:datastoreItem xmlns:ds="http://schemas.openxmlformats.org/officeDocument/2006/customXml" ds:itemID="{32608D25-EC36-42FE-A1DC-F778995A6799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2025-12-24T23:03:56Z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